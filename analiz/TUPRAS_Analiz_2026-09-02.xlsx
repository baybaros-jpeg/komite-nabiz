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Ozet" sheetId="1" state="visible" r:id="rId3"/>
    <sheet name="2-Bilanco" sheetId="2" state="visible" r:id="rId4"/>
    <sheet name="3-Gelir-Tablosu" sheetId="3" state="visible" r:id="rId5"/>
    <sheet name="4-Nakit-Akim" sheetId="4" state="visible" r:id="rId6"/>
    <sheet name="5-Rasyo-Sektor" sheetId="5" state="visible" r:id="rId7"/>
    <sheet name="6-Teknik" sheetId="6" state="visible" r:id="rId8"/>
    <sheet name="7-Senaryo" sheetId="7" state="visible" r:id="rId9"/>
    <sheet name="8-Haberler" sheetId="8" state="visible" r:id="rId10"/>
    <sheet name="9-Analist" sheetId="9" state="visible" r:id="rId11"/>
    <sheet name="10-Fiyat-Verisi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1" authorId="0">
      <text>
        <r>
          <rPr>
            <sz val="10"/>
            <rFont val="Arial"/>
            <family val="2"/>
          </rPr>
          <t xml:space="preserve">2026 ve 2025 sütunlarında 6 aylık SNA yıllıklandırılmıştır (x2). Piyasa değeri 02.09.2026 kapanışı ile sabittir.</t>
        </r>
      </text>
    </comment>
  </commentList>
</comments>
</file>

<file path=xl/sharedStrings.xml><?xml version="1.0" encoding="utf-8"?>
<sst xmlns="http://schemas.openxmlformats.org/spreadsheetml/2006/main" count="539" uniqueCount="461">
  <si>
    <t xml:space="preserve">TÜPRAŞ (TUPRS) — YATIRIM ANALİZİ ÖZETİ  |  Veri tarihi: 02.09.2026</t>
  </si>
  <si>
    <t xml:space="preserve">Kaynak: borsa MCP konnektörü (yfinance / borsapy / İş Yatırım / TCMB / TradingView) + KAP &amp; basın taraması</t>
  </si>
  <si>
    <t xml:space="preserve">Gösterge</t>
  </si>
  <si>
    <t xml:space="preserve">Değer</t>
  </si>
  <si>
    <t xml:space="preserve">Karşılaştırma</t>
  </si>
  <si>
    <t xml:space="preserve">Birim / Dönem</t>
  </si>
  <si>
    <t xml:space="preserve">Yorum</t>
  </si>
  <si>
    <t xml:space="preserve">Kapanış fiyatı</t>
  </si>
  <si>
    <t xml:space="preserve">TL (02.09 / 01.09)</t>
  </si>
  <si>
    <t xml:space="preserve">Gün içi -%2,6; 52 hafta zirvesi 417,25 TL'nin %6 altında</t>
  </si>
  <si>
    <t xml:space="preserve">Piyasa değeri</t>
  </si>
  <si>
    <t xml:space="preserve">mn TL</t>
  </si>
  <si>
    <t xml:space="preserve">1.926.795.598 adet pay</t>
  </si>
  <si>
    <t xml:space="preserve">52 hafta aralığı (düşük)</t>
  </si>
  <si>
    <t xml:space="preserve">TL</t>
  </si>
  <si>
    <t xml:space="preserve">Dipten +%234</t>
  </si>
  <si>
    <t xml:space="preserve">52 hafta aralığı (yüksek)</t>
  </si>
  <si>
    <t xml:space="preserve">01.09.2026'da görüldü</t>
  </si>
  <si>
    <t xml:space="preserve">F/K (TTM)</t>
  </si>
  <si>
    <t xml:space="preserve">x — vs XUSIN medyan</t>
  </si>
  <si>
    <t xml:space="preserve">Sektöre göre %26 iskontolu</t>
  </si>
  <si>
    <t xml:space="preserve">PD/DD</t>
  </si>
  <si>
    <t xml:space="preserve">Sektör medyanı ile aynı</t>
  </si>
  <si>
    <t xml:space="preserve">FD/FAVÖK (TTM)</t>
  </si>
  <si>
    <t xml:space="preserve">x</t>
  </si>
  <si>
    <t xml:space="preserve">Tarihsel ortalamanın altında, ancak zirve FAVÖK üzerinden</t>
  </si>
  <si>
    <t xml:space="preserve">FD/Satışlar</t>
  </si>
  <si>
    <t xml:space="preserve">Rafinericilikte düşük marj yapısı nedeniyle normal</t>
  </si>
  <si>
    <t xml:space="preserve">Temettü verimi (TTM)</t>
  </si>
  <si>
    <t xml:space="preserve">%</t>
  </si>
  <si>
    <t xml:space="preserve">2026 toplam 33 mlr TL; brüt 17,13 TL/pay ≈ %4,4 + Mart taksiti</t>
  </si>
  <si>
    <t xml:space="preserve">Hisse başı kazanç (TTM)</t>
  </si>
  <si>
    <t xml:space="preserve">2Ç26'da 19,49 TL beklentiye karşı 36,04 TL gerçekleşti</t>
  </si>
  <si>
    <t xml:space="preserve">Analist konsensüsü</t>
  </si>
  <si>
    <t xml:space="preserve">AL</t>
  </si>
  <si>
    <t xml:space="preserve">20 AL / 7 TUT / 0 SAT</t>
  </si>
  <si>
    <t xml:space="preserve">yfinance konsensüs</t>
  </si>
  <si>
    <t xml:space="preserve">Ortalama hedef fiyat</t>
  </si>
  <si>
    <t xml:space="preserve">TL — vs spot</t>
  </si>
  <si>
    <t xml:space="preserve">Yükseliş potansiyeli ≈ %1,2 (yurt içi 16 kurum ort. 405,44 TL)</t>
  </si>
  <si>
    <t xml:space="preserve">DCF içsel değer (Buffett mdl.)</t>
  </si>
  <si>
    <t xml:space="preserve">Güvenlik marjı %61,6 — ancak zirve nakit akışını ekstrapole eder</t>
  </si>
  <si>
    <t xml:space="preserve">RSI (14, günlük)</t>
  </si>
  <si>
    <t xml:space="preserve">— vs aşırı alım</t>
  </si>
  <si>
    <t xml:space="preserve">Aşırı alım sınırına yakın</t>
  </si>
  <si>
    <t xml:space="preserve">Brent</t>
  </si>
  <si>
    <t xml:space="preserve">USD/varil</t>
  </si>
  <si>
    <t xml:space="preserve">Yıl başından bu yana +%55 (USD)</t>
  </si>
  <si>
    <t xml:space="preserve">USD/TRY</t>
  </si>
  <si>
    <t xml:space="preserve">YBB +%12,3</t>
  </si>
  <si>
    <t xml:space="preserve">TÜFE (yıllık, Tem-26)</t>
  </si>
  <si>
    <t xml:space="preserve">Reel getiri eşiği yüksek</t>
  </si>
  <si>
    <t xml:space="preserve">SONUÇ / KANAAT</t>
  </si>
  <si>
    <t xml:space="preserve">Kısa vade (0-3 ay)</t>
  </si>
  <si>
    <t xml:space="preserve">NÖTR / BEKLE</t>
  </si>
  <si>
    <t xml:space="preserve">2 ayda +%73 yükseliş, RSI 67, konsensüs hedefi (397 TL) fiyatın üzerinde değil. Koç Holding blok satışı (384,50 TL, ~6,16 mlr TL, takas 07.09) kısa vadeli arz baskısı ve fiyat çıpası yaratıyor. 30.09 temettü kesintisi (brüt 6,75 TL) mekanik düşüş getirecek. Yeni alım için 365-385 TL bandı beklenmeli.</t>
  </si>
  <si>
    <t xml:space="preserve">Orta vade (6-18 ay)</t>
  </si>
  <si>
    <t xml:space="preserve">KADEMELİ AL</t>
  </si>
  <si>
    <t xml:space="preserve">Net rafineri marjı beklentisi 6-7 $/varilden 13-15 $/varile yükseltildi; 2026 FAVÖK tahmini 2,4 mlr $'dan 3,1 mlr $'a çıktı. Net nakit pozisyonu, %7,7 temettü verimi ve 10,4 F/K (sektör 14,15) orta vadede destekleyici. Ancak marjlar savaş/arz kesintisi kaynaklı — normalleşme senaryosu fiyatlanmalı.</t>
  </si>
  <si>
    <t xml:space="preserve">Ana risk</t>
  </si>
  <si>
    <t xml:space="preserve">MARJ NORMALLEŞMESİ</t>
  </si>
  <si>
    <t xml:space="preserve">Mevcut fiyat, orta-çevrim (~8-10 $/varil) yerine zirve marjı fiyatlıyor. Senaryo sayfasına göre 2,0 mlr $ normalize FAVÖK'te adil değer ~342 TL (spot'un %13 altında).</t>
  </si>
  <si>
    <t xml:space="preserve">UYARI: Bu çalışma yatırım danışmanlığı değildir. Kamuya açık verilerden derlenmiş analiz içerir; yatırım kararları kişisel risk profilinize göre alınmalıdır.</t>
  </si>
  <si>
    <t xml:space="preserve">TÜPRAŞ — ÖZET BİLANÇO (milyon TL, çeyrek sonu, TMS-29 enflasyon muhasebesi uygulanmış)</t>
  </si>
  <si>
    <t xml:space="preserve">Kaynak: borsa MCP / borsapy — KAP finansal tabloları. Kalemler cari alım gücüne endekslendiğinden dönemler arası karşılaştırma yaklaşıktır.</t>
  </si>
  <si>
    <t xml:space="preserve">Kalem</t>
  </si>
  <si>
    <t xml:space="preserve">2026/Q2</t>
  </si>
  <si>
    <t xml:space="preserve">2026/Q1</t>
  </si>
  <si>
    <t xml:space="preserve">2025/Q4</t>
  </si>
  <si>
    <t xml:space="preserve">2025/Q2</t>
  </si>
  <si>
    <t xml:space="preserve">Ç/Ç Değişim</t>
  </si>
  <si>
    <t xml:space="preserve">Y/Y Değişim</t>
  </si>
  <si>
    <t xml:space="preserve">Nakit ve Nakit Benzerleri</t>
  </si>
  <si>
    <t xml:space="preserve">Diğer Dönen Varlıklar</t>
  </si>
  <si>
    <t xml:space="preserve">DÖNEN VARLIKLAR</t>
  </si>
  <si>
    <t xml:space="preserve">Maddi Duran Varlıklar</t>
  </si>
  <si>
    <t xml:space="preserve">Maddi Olmayan Duran Varlıklar</t>
  </si>
  <si>
    <t xml:space="preserve">Özkaynak Yöntemiyle Değ. Yatırımlar</t>
  </si>
  <si>
    <t xml:space="preserve">DURAN VARLIKLAR</t>
  </si>
  <si>
    <t xml:space="preserve">TOPLAM VARLIKLAR</t>
  </si>
  <si>
    <t xml:space="preserve">KISA VADELİ YÜKÜMLÜLÜKLER</t>
  </si>
  <si>
    <t xml:space="preserve">  Diğer Kısa Vadeli Yükümlülükler</t>
  </si>
  <si>
    <t xml:space="preserve">UZUN VADELİ YÜKÜMLÜLÜKLER</t>
  </si>
  <si>
    <t xml:space="preserve">  Uzun Vadeli Finansal Borçlar</t>
  </si>
  <si>
    <t xml:space="preserve">  Ertelenmiş Vergi Yükümlülüğü</t>
  </si>
  <si>
    <t xml:space="preserve">ÖZKAYNAKLAR</t>
  </si>
  <si>
    <t xml:space="preserve">  Ana Ortaklığa Ait Özkaynaklar</t>
  </si>
  <si>
    <t xml:space="preserve">  Geçmiş Yıllar Kar/Zararları</t>
  </si>
  <si>
    <t xml:space="preserve">  Dönem Net Karı (kümülatif)</t>
  </si>
  <si>
    <t xml:space="preserve">  Ödenmiş Sermaye</t>
  </si>
  <si>
    <t xml:space="preserve">Net Yabancı Para Pozisyonu</t>
  </si>
  <si>
    <t xml:space="preserve">TÜRETİLMİŞ GÖSTERGELER</t>
  </si>
  <si>
    <t xml:space="preserve">Cari Oran (Dönen V. / KV Yük.)</t>
  </si>
  <si>
    <t xml:space="preserve">Nakit / Toplam Varlık</t>
  </si>
  <si>
    <t xml:space="preserve">Özkaynak / Toplam Varlık</t>
  </si>
  <si>
    <t xml:space="preserve">Toplam Yükümlülük / Özkaynak</t>
  </si>
  <si>
    <t xml:space="preserve">Defter değeri / pay (TL)</t>
  </si>
  <si>
    <t xml:space="preserve">Not: Tabloda 'Finansal Borçlar' yalnızca uzun vadeli dilimi gösterir; kısa vadeli finansal borç veri setinde ayrıştırılmamıştır. Şirketin açıkladığı net nakit pozisyonu 1Ç26'da 74,7 mlr TL idi; 2Ç26 nakit hareketinden türetilen tahmin ≈ 127,7 mlr TL (bkz. 7-Senaryo).</t>
  </si>
  <si>
    <t xml:space="preserve">TÜPRAŞ — GELİR TABLOSU (milyon TL, kümülatif dönem)</t>
  </si>
  <si>
    <t xml:space="preserve">Kaynak: borsa MCP / borsapy. 2026/6A ve 2025/6A altı aylık kümülatif; diğerleri yıl sonu. 2Ç26 tek çeyrek = 2026/6A eksi 1Ç26.</t>
  </si>
  <si>
    <t xml:space="preserve">2026/6A</t>
  </si>
  <si>
    <t xml:space="preserve">2025/6A</t>
  </si>
  <si>
    <t xml:space="preserve">Y/Y</t>
  </si>
  <si>
    <t xml:space="preserve">2025</t>
  </si>
  <si>
    <t xml:space="preserve">2024</t>
  </si>
  <si>
    <t xml:space="preserve">2023</t>
  </si>
  <si>
    <t xml:space="preserve">2Ç26 (tek çeyrek)</t>
  </si>
  <si>
    <t xml:space="preserve">Satış Gelirleri</t>
  </si>
  <si>
    <t xml:space="preserve">Satışların Maliyeti (-)</t>
  </si>
  <si>
    <t xml:space="preserve">BRÜT KAR</t>
  </si>
  <si>
    <t xml:space="preserve">Pazarlama Giderleri (-)</t>
  </si>
  <si>
    <t xml:space="preserve">Genel Yönetim Gid. (-)</t>
  </si>
  <si>
    <t xml:space="preserve">Ar-Ge Giderleri (-)</t>
  </si>
  <si>
    <t xml:space="preserve">Net Faaliyet Karı</t>
  </si>
  <si>
    <t xml:space="preserve">FAALİYET KARI</t>
  </si>
  <si>
    <t xml:space="preserve">Amortisman &amp; İtfa</t>
  </si>
  <si>
    <t xml:space="preserve">FAVÖK (Net Faal.K + Amort.)</t>
  </si>
  <si>
    <t xml:space="preserve">Net Finansal Gelir/Gider</t>
  </si>
  <si>
    <t xml:space="preserve">VERGİ ÖNCESİ KAR</t>
  </si>
  <si>
    <t xml:space="preserve">Vergi Gideri (-)</t>
  </si>
  <si>
    <t xml:space="preserve">DÖNEM NET KARI</t>
  </si>
  <si>
    <t xml:space="preserve">  Ana Ortaklık Payı</t>
  </si>
  <si>
    <t xml:space="preserve">Hisse Başına Kazanç (TL)</t>
  </si>
  <si>
    <t xml:space="preserve">MARJLAR</t>
  </si>
  <si>
    <t xml:space="preserve">Brüt Kar Marjı</t>
  </si>
  <si>
    <t xml:space="preserve">Faaliyet Kar Marjı</t>
  </si>
  <si>
    <t xml:space="preserve">FAVÖK Marjı</t>
  </si>
  <si>
    <t xml:space="preserve">Net Kar Marjı</t>
  </si>
  <si>
    <t xml:space="preserve">Not: 2Ç26 tek çeyrek satış geliri kümülatiflerden türetilmiştir (404,5 mlr TL). Şirketin sunumunda açıklanan 2Ç26 satış geliri 386,4 mlr TL, FAVÖK 54,3 mlr TL, FAVÖK marjı %14,14'tür — fark TMS-29 yeniden değerlemesinden kaynaklanır.</t>
  </si>
  <si>
    <t xml:space="preserve">TÜPRAŞ — NAKİT AKIM TABLOSU (milyon TL, kümülatif)</t>
  </si>
  <si>
    <t xml:space="preserve">Kaynak: borsa MCP / borsapy. 2026 ve 2025 sütunları altı aylık kümülatiftir.</t>
  </si>
  <si>
    <t xml:space="preserve">2025 (yıl)</t>
  </si>
  <si>
    <t xml:space="preserve">2024 (yıl)</t>
  </si>
  <si>
    <t xml:space="preserve">Dönem Karı</t>
  </si>
  <si>
    <t xml:space="preserve">İşletme Sermayesindeki Değişim</t>
  </si>
  <si>
    <t xml:space="preserve">İŞLETME FAALİYETLERİNDEN NET NAKİT</t>
  </si>
  <si>
    <t xml:space="preserve">Sabit Sermaye Yatırımları (Capex)</t>
  </si>
  <si>
    <t xml:space="preserve">Yatırım Faaliyetlerinden Nakit</t>
  </si>
  <si>
    <t xml:space="preserve">SERBEST NAKİT AKIM</t>
  </si>
  <si>
    <t xml:space="preserve">Temettü Ödemeleri</t>
  </si>
  <si>
    <t xml:space="preserve">Finansal Borçlardaki Değişim</t>
  </si>
  <si>
    <t xml:space="preserve">Finansman Faaliyetlerinden Nakit</t>
  </si>
  <si>
    <t xml:space="preserve">Nakit ve Benzerlerindeki Net Değişim</t>
  </si>
  <si>
    <t xml:space="preserve">DÖNEM SONU NAKİT</t>
  </si>
  <si>
    <t xml:space="preserve">Yurt İçi Satışlar</t>
  </si>
  <si>
    <t xml:space="preserve">Yurt Dışı Satışlar (ihracat)</t>
  </si>
  <si>
    <t xml:space="preserve">TÜRETİLMİŞ</t>
  </si>
  <si>
    <t xml:space="preserve">Serbest Nakit Akım Verimi (PD 755.786 mn TL)</t>
  </si>
  <si>
    <t xml:space="preserve">Temettü / Serbest Nakit Akım (ödeme oranı)</t>
  </si>
  <si>
    <t xml:space="preserve">İhracat / Toplam Satış</t>
  </si>
  <si>
    <t xml:space="preserve">TÜPRAŞ — DEĞERLEME RASYOLARI VE SEKTÖR KARŞILAŞTIRMASI (XUSIN)</t>
  </si>
  <si>
    <t xml:space="preserve">Kaynak: borsa MCP / İş Yatırım + borsapy. Sektör medyanı F/K 14,15x — PD/DD 1,70x.</t>
  </si>
  <si>
    <t xml:space="preserve">Rasyo</t>
  </si>
  <si>
    <t xml:space="preserve">TUPRS</t>
  </si>
  <si>
    <t xml:space="preserve">Sektör Medyanı</t>
  </si>
  <si>
    <t xml:space="preserve">Fark</t>
  </si>
  <si>
    <t xml:space="preserve">Sektöre göre %26 iskonto</t>
  </si>
  <si>
    <t xml:space="preserve">Sektör ile aynı seviyede</t>
  </si>
  <si>
    <t xml:space="preserve">FD/FAVÖK</t>
  </si>
  <si>
    <t xml:space="preserve">Zirve FAVÖK üzerinden hesaplandığı için yanıltıcı olabilir</t>
  </si>
  <si>
    <t xml:space="preserve">Rafineri iş modeli için normal</t>
  </si>
  <si>
    <t xml:space="preserve">Temettü Verimi (TTM)</t>
  </si>
  <si>
    <t xml:space="preserve">2026 toplamı üzerinden ≈ %7,7</t>
  </si>
  <si>
    <t xml:space="preserve">Owner Earnings (mn TL)</t>
  </si>
  <si>
    <t xml:space="preserve">Buffett modeli gerçek nakit üretimi</t>
  </si>
  <si>
    <t xml:space="preserve">OE Verimi</t>
  </si>
  <si>
    <t xml:space="preserve">Buffett eşiği %10'un çok üzerinde</t>
  </si>
  <si>
    <t xml:space="preserve">DCF İçsel Değer (TL)</t>
  </si>
  <si>
    <t xml:space="preserve">Güvenlik marjı %61,6 — zirve nakit akışı varsayımına duyarlı</t>
  </si>
  <si>
    <t xml:space="preserve">XUSIN SEKTÖR EMSALLERİ</t>
  </si>
  <si>
    <t xml:space="preserve">Şirket</t>
  </si>
  <si>
    <t xml:space="preserve">Kod</t>
  </si>
  <si>
    <t xml:space="preserve">Piyasa Değeri (mn TL)</t>
  </si>
  <si>
    <t xml:space="preserve">F/K</t>
  </si>
  <si>
    <t xml:space="preserve">F/K vs TUPRS</t>
  </si>
  <si>
    <t xml:space="preserve">Not</t>
  </si>
  <si>
    <t xml:space="preserve">Tüpraş</t>
  </si>
  <si>
    <t xml:space="preserve">İnceleme konusu</t>
  </si>
  <si>
    <t xml:space="preserve">Astor Enerji</t>
  </si>
  <si>
    <t xml:space="preserve">ASTOR</t>
  </si>
  <si>
    <t xml:space="preserve">Ford Otosan</t>
  </si>
  <si>
    <t xml:space="preserve">FROTO</t>
  </si>
  <si>
    <t xml:space="preserve">Ereğli Demir Çelik</t>
  </si>
  <si>
    <t xml:space="preserve">EREGL</t>
  </si>
  <si>
    <t xml:space="preserve">Coca-Cola İçecek</t>
  </si>
  <si>
    <t xml:space="preserve">CCOLA</t>
  </si>
  <si>
    <t xml:space="preserve">Gübre Fabrikaları</t>
  </si>
  <si>
    <t xml:space="preserve">GUBRF</t>
  </si>
  <si>
    <t xml:space="preserve">Anadolu Efes</t>
  </si>
  <si>
    <t xml:space="preserve">AEFES</t>
  </si>
  <si>
    <t xml:space="preserve">Oyak Çimento</t>
  </si>
  <si>
    <t xml:space="preserve">OYAKC</t>
  </si>
  <si>
    <t xml:space="preserve">Borusan Boru</t>
  </si>
  <si>
    <t xml:space="preserve">BRSAN</t>
  </si>
  <si>
    <t xml:space="preserve">Aksa</t>
  </si>
  <si>
    <t xml:space="preserve">AKSA</t>
  </si>
  <si>
    <t xml:space="preserve">Çimsa</t>
  </si>
  <si>
    <t xml:space="preserve">CIMSA</t>
  </si>
  <si>
    <t xml:space="preserve">Kardemir (D)</t>
  </si>
  <si>
    <t xml:space="preserve">KRDMD</t>
  </si>
  <si>
    <t xml:space="preserve">Medyan (emsaller)</t>
  </si>
  <si>
    <t xml:space="preserve">TÜPRAŞ — TEKNİK ANALİZ (günlük, 02.09.2026 kapanışı 392,25 TL)</t>
  </si>
  <si>
    <t xml:space="preserve">Kaynak: borsa MCP / yfinance. BIST hisselerinde teknik göstergeler günlük veriyle hesaplanır.</t>
  </si>
  <si>
    <t xml:space="preserve">Fiyata Uzaklık</t>
  </si>
  <si>
    <t xml:space="preserve">Sinyal</t>
  </si>
  <si>
    <t xml:space="preserve">Kapanış</t>
  </si>
  <si>
    <t xml:space="preserve">—</t>
  </si>
  <si>
    <t xml:space="preserve">01.09'da 417,25 TL zirvesi görüldükten sonra geri çekilme</t>
  </si>
  <si>
    <t xml:space="preserve">EMA-20</t>
  </si>
  <si>
    <t xml:space="preserve">Fiyat EMA-20 üzerinde — kısa vadeli trend pozitif</t>
  </si>
  <si>
    <t xml:space="preserve">SMA-20</t>
  </si>
  <si>
    <t xml:space="preserve">Ana destek bölgesi</t>
  </si>
  <si>
    <t xml:space="preserve">EMA-50</t>
  </si>
  <si>
    <t xml:space="preserve">Orta vadeli trend desteği; kaybı trend bozar</t>
  </si>
  <si>
    <t xml:space="preserve">RSI-14</t>
  </si>
  <si>
    <t xml:space="preserve">AL / dikkat</t>
  </si>
  <si>
    <t xml:space="preserve">70 aşırı alım sınırına yakın — yeni alım için ideal değil</t>
  </si>
  <si>
    <t xml:space="preserve">MACD</t>
  </si>
  <si>
    <t xml:space="preserve">Sinyal çizgisinin (19,69) üzerinde</t>
  </si>
  <si>
    <t xml:space="preserve">MACD Histogram</t>
  </si>
  <si>
    <t xml:space="preserve">ZAYIFLIYOR</t>
  </si>
  <si>
    <t xml:space="preserve">Pozitif ama daralıyor — momentum yavaşlıyor</t>
  </si>
  <si>
    <t xml:space="preserve">Trend (algoritmik)</t>
  </si>
  <si>
    <t xml:space="preserve">YATAY</t>
  </si>
  <si>
    <t xml:space="preserve">Zirve sonrası konsolidasyon</t>
  </si>
  <si>
    <t xml:space="preserve">PIVOT SEVİYELERİ (klasik)</t>
  </si>
  <si>
    <t xml:space="preserve">Seviye</t>
  </si>
  <si>
    <t xml:space="preserve">Fiyat (TL)</t>
  </si>
  <si>
    <t xml:space="preserve">Uzaklık</t>
  </si>
  <si>
    <t xml:space="preserve">Tip</t>
  </si>
  <si>
    <t xml:space="preserve">Açıklama</t>
  </si>
  <si>
    <t xml:space="preserve">R3</t>
  </si>
  <si>
    <t xml:space="preserve">Direnç</t>
  </si>
  <si>
    <t xml:space="preserve">Güçlü marj haberi olmadan zorlu</t>
  </si>
  <si>
    <t xml:space="preserve">R2</t>
  </si>
  <si>
    <t xml:space="preserve">52 hafta zirvesi üstü hedef</t>
  </si>
  <si>
    <t xml:space="preserve">52h Zirve</t>
  </si>
  <si>
    <t xml:space="preserve">01.09.2026'da test edildi</t>
  </si>
  <si>
    <t xml:space="preserve">R1</t>
  </si>
  <si>
    <t xml:space="preserve">İlk ciddi satış bölgesi</t>
  </si>
  <si>
    <t xml:space="preserve">Pivot</t>
  </si>
  <si>
    <t xml:space="preserve">Gün içi kaybedildi — geri alınması gerek</t>
  </si>
  <si>
    <t xml:space="preserve">S1</t>
  </si>
  <si>
    <t xml:space="preserve">Destek</t>
  </si>
  <si>
    <t xml:space="preserve">Bugün kırıldı</t>
  </si>
  <si>
    <t xml:space="preserve">S2</t>
  </si>
  <si>
    <t xml:space="preserve">Fiyat hemen üzerinde — kritik</t>
  </si>
  <si>
    <t xml:space="preserve">Blok satış fiyatı</t>
  </si>
  <si>
    <t xml:space="preserve">Koç Holding satış çıpası — psikolojik zemin</t>
  </si>
  <si>
    <t xml:space="preserve">S3</t>
  </si>
  <si>
    <t xml:space="preserve">Kademeli alım için ilk bölge</t>
  </si>
  <si>
    <t xml:space="preserve">Kademeli alım için ikinci bölge</t>
  </si>
  <si>
    <t xml:space="preserve">Orta vade trend çizgisi — kaybı stop seviyesi</t>
  </si>
  <si>
    <t xml:space="preserve">FİYAT PERFORMANSI</t>
  </si>
  <si>
    <t xml:space="preserve">Dönem / Varlık</t>
  </si>
  <si>
    <t xml:space="preserve">Getiri (TRY)</t>
  </si>
  <si>
    <t xml:space="preserve">Getiri (USD)</t>
  </si>
  <si>
    <t xml:space="preserve">Başlangıç</t>
  </si>
  <si>
    <t xml:space="preserve">TUPRS — YBB (02.01→02.09.2026)</t>
  </si>
  <si>
    <t xml:space="preserve">BIST'in en güçlü büyük ölçekli hisselerinden</t>
  </si>
  <si>
    <t xml:space="preserve">Brent — YBB</t>
  </si>
  <si>
    <t xml:space="preserve">94,33 USD/varil</t>
  </si>
  <si>
    <t xml:space="preserve">Gram Altın — YBB</t>
  </si>
  <si>
    <t xml:space="preserve">USD/TRY — YBB</t>
  </si>
  <si>
    <t xml:space="preserve">48,29 TL</t>
  </si>
  <si>
    <t xml:space="preserve">TUPRS — 2 aylık (30.06→02.09)</t>
  </si>
  <si>
    <t xml:space="preserve">Bilanço sonrası sert ralli</t>
  </si>
  <si>
    <t xml:space="preserve">TUPRS — 52 hafta</t>
  </si>
  <si>
    <t xml:space="preserve">Eyl-2025 seviyesinden</t>
  </si>
  <si>
    <t xml:space="preserve">TÜPRAŞ — DEĞERLEME SENARYO ANALİZİ (FD/FAVÖK yöntemi)</t>
  </si>
  <si>
    <t xml:space="preserve">Mavi hücreler girdi/varsayımdır — değiştirilebilir. Siyah hücreler formüldür.</t>
  </si>
  <si>
    <t xml:space="preserve">VARSAYIMLAR</t>
  </si>
  <si>
    <t xml:space="preserve">Pay adedi (mn adet)</t>
  </si>
  <si>
    <t xml:space="preserve">KAP — ödenmiş sermaye 1.926.795.598 TL, 1 TL nominal</t>
  </si>
  <si>
    <t xml:space="preserve">Güncel fiyat (TL)</t>
  </si>
  <si>
    <t xml:space="preserve">BIST kapanış 02.09.2026</t>
  </si>
  <si>
    <t xml:space="preserve">USD/TRY (değerleme kuru)</t>
  </si>
  <si>
    <t xml:space="preserve">Spot 02.09.2026</t>
  </si>
  <si>
    <t xml:space="preserve">Net nakit pozisyonu (mn TL)</t>
  </si>
  <si>
    <t xml:space="preserve">Türetilmiş: şirket açıklamalı 1Ç26 net nakit 74,7 mlr TL + 2Ç26 nakit artışı 65,9 mlr TL - borç artışı 12,9 mlr TL</t>
  </si>
  <si>
    <t xml:space="preserve">PİYASA DEĞERİ (kontrol)</t>
  </si>
  <si>
    <t xml:space="preserve">FİRMA DEĞERİ (PD - Net Nakit)</t>
  </si>
  <si>
    <t xml:space="preserve">SENARYOLAR — 2026/normalize FAVÖK</t>
  </si>
  <si>
    <t xml:space="preserve">Senaryo</t>
  </si>
  <si>
    <t xml:space="preserve">Net Raf. Marjı ($/varil)</t>
  </si>
  <si>
    <t xml:space="preserve">FAVÖK (mn USD)</t>
  </si>
  <si>
    <t xml:space="preserve">FAVÖK (mn TL)</t>
  </si>
  <si>
    <t xml:space="preserve">Dayanak</t>
  </si>
  <si>
    <t xml:space="preserve">Boğa — marj kalıcı yüksek</t>
  </si>
  <si>
    <t xml:space="preserve">Şirket üst bant 15 $/varil; Akdeniz arz sıkışıklığı sürer</t>
  </si>
  <si>
    <t xml:space="preserve">Baz — şirket rehberliği</t>
  </si>
  <si>
    <t xml:space="preserve">2Ç26 sonrası konsensüs FAVÖK tahmini 3,1 mlr USD</t>
  </si>
  <si>
    <t xml:space="preserve">Ayı — hızlı normalleşme</t>
  </si>
  <si>
    <t xml:space="preserve">Marjların 2H26'da 9 $/varile gerilemesi</t>
  </si>
  <si>
    <t xml:space="preserve">Normalize — orta çevrim</t>
  </si>
  <si>
    <t xml:space="preserve">Tarihsel orta-çevrim marjı 6-8 $/varil (şirketin yıl başı rehberliği)</t>
  </si>
  <si>
    <t xml:space="preserve">Sert daralma</t>
  </si>
  <si>
    <t xml:space="preserve">Talep şoku + arz normalleşmesi birlikte</t>
  </si>
  <si>
    <t xml:space="preserve">HEDEF FİYAT MATRİSİ (TL/pay)</t>
  </si>
  <si>
    <t xml:space="preserve">4.0x FD/FAVÖK</t>
  </si>
  <si>
    <t xml:space="preserve">5.0x FD/FAVÖK</t>
  </si>
  <si>
    <t xml:space="preserve">5.6x FD/FAVÖK (mevcut)</t>
  </si>
  <si>
    <t xml:space="preserve">6.5x FD/FAVÖK</t>
  </si>
  <si>
    <t xml:space="preserve">5,6x'te potansiyel</t>
  </si>
  <si>
    <t xml:space="preserve">Değerlendirme</t>
  </si>
  <si>
    <t xml:space="preserve">Güçlü yükseliş</t>
  </si>
  <si>
    <t xml:space="preserve">Makul yükseliş</t>
  </si>
  <si>
    <t xml:space="preserve">Yatay / hafif düşüş</t>
  </si>
  <si>
    <t xml:space="preserve">Aşağı yönlü risk</t>
  </si>
  <si>
    <t xml:space="preserve">Ciddi düşüş riski</t>
  </si>
  <si>
    <t xml:space="preserve">Olasılık ağırlıklı adil değer (Boğa %20 / Baz %30 / Ayı %25 / Normalize %20 / Sert %5, 5,0x çarpan)</t>
  </si>
  <si>
    <t xml:space="preserve">TL/pay</t>
  </si>
  <si>
    <t xml:space="preserve">Spot fiyata göre potansiyel</t>
  </si>
  <si>
    <t xml:space="preserve">Not: FD/FAVÖK çarpanı, rafineri sektöründe çevrimin tepesinde daraltılır (yatırımcı zirve kârı ekstrapole etmez). Mevcut 5,6x, son 12 ayın (zirve) FAVÖK'ü üzerinden hesaplanmıştır; normalize FAVÖK üzerinden mevcut fiyat 9-10x'e denk gelir.</t>
  </si>
  <si>
    <t xml:space="preserve">TÜPRAŞ — YAKIN DÖNEM HABER VE KAP AKIŞI</t>
  </si>
  <si>
    <t xml:space="preserve">Kaynak: KAP bildirimleri, şirket sunumları ve basın taraması (Haziran–Eylül 2026). borsa MCP haber servisi TUPRS için boş döndüğünden web taramasıyla derlenmiştir.</t>
  </si>
  <si>
    <t xml:space="preserve">Tarih</t>
  </si>
  <si>
    <t xml:space="preserve">Başlık</t>
  </si>
  <si>
    <t xml:space="preserve">İçerik / Rakamlar</t>
  </si>
  <si>
    <t xml:space="preserve">Etki</t>
  </si>
  <si>
    <t xml:space="preserve">Vade</t>
  </si>
  <si>
    <t xml:space="preserve">02.09.2026</t>
  </si>
  <si>
    <t xml:space="preserve">Koç Holding + Temel Ticaret blok pay satışı</t>
  </si>
  <si>
    <t xml:space="preserve">Toplam ~%0,83 pay (11 mn TL + 5,02 mn TL nominal), 1 TL nominal başına 384,50 TL fiyatla ~6,16 mlr TL büyüklüğünde toptan satış. BofA aracılığıyla 02.09'da BİST'e başvuru, işlem 03.09, takas 07.09. Sonrası: Koç doğrudan payı %3,7'ye, Koç+Enerji Yatırımları toplam %50,1'e, halka açıklık %49,7'ye çıkıyor.</t>
  </si>
  <si>
    <t xml:space="preserve">NEGATİF</t>
  </si>
  <si>
    <t xml:space="preserve">Kısa</t>
  </si>
  <si>
    <t xml:space="preserve">01.09.2026</t>
  </si>
  <si>
    <t xml:space="preserve">Entek Elektrik sermaye artırımına katılım</t>
  </si>
  <si>
    <t xml:space="preserve">Bağlı ortaklık Entek Elektrik Üretim A.Ş. sermayesi 2,065 mlr TL'den 2,500 mlr TL artışla 4,565 mlr TL'ye çıkarılıyor. Amaç: yatırım finansmanı, işletme sermayesi ve mali yapının güçlendirilmesi.</t>
  </si>
  <si>
    <t xml:space="preserve">NÖTR</t>
  </si>
  <si>
    <t xml:space="preserve">Orta</t>
  </si>
  <si>
    <t xml:space="preserve">Eylül 2026</t>
  </si>
  <si>
    <t xml:space="preserve">Eylül yatırımcı bilgilendirme sunumu</t>
  </si>
  <si>
    <t xml:space="preserve">Petrol fiyatları, ürün marjları ve Türkiye akaryakıt piyasası güncellemesi yayımlandı.</t>
  </si>
  <si>
    <t xml:space="preserve">04.08.2026</t>
  </si>
  <si>
    <t xml:space="preserve">2Ç26 bilançosu — rekor kâr, rekor nakit</t>
  </si>
  <si>
    <t xml:space="preserve">2Ç26 ana ortaklık net kârı 45,9 mlr TL (yıllık +%291). Satış geliri 386,4 mlr TL. FAVÖK 54,3 mlr TL — beklentiyi %41,4 aştı; net kâr beklentiyi %51,7 aştı. FAVÖK marjı %6,12'den %14,14'e (+802 bp). Çeyreklik FAVÖK, önceki dört çeyreğin toplamına yaklaştı. 6 aylık net kâr 49,85 mlr TL (2025/6A: 11,87 mlr TL).</t>
  </si>
  <si>
    <t xml:space="preserve">ÇOK POZİTİF</t>
  </si>
  <si>
    <t xml:space="preserve">2026 net rafineri marjı beklentisi yükseltildi</t>
  </si>
  <si>
    <t xml:space="preserve">Yıl başı rehberliği 6-7 USD/varil iken 13-15 USD/varil aralığına revize edildi. Diğer hedefler korundu: %95-100 kapasite kullanımı, ~29 mn ton üretim, ~30 mn ton satış, ~700 mn USD yatırım harcaması. Piyasa 2026 FAVÖK tahminini 2,4 mlr USD'den 3,1 mlr USD'ye yükseltti.</t>
  </si>
  <si>
    <t xml:space="preserve">Ağustos 2026</t>
  </si>
  <si>
    <t xml:space="preserve">16 aracı kurum hedef fiyat güncellemesi</t>
  </si>
  <si>
    <t xml:space="preserve">Bilanço sonrası ortalama hedef fiyat 405,44 TL; en düşük 346,00 TL, en yüksek 470,90 TL. Vakıf Yatırım 510 TL hedefle 'AL' tavsiyesiyle takibe başladı.</t>
  </si>
  <si>
    <t xml:space="preserve">POZİTİF</t>
  </si>
  <si>
    <t xml:space="preserve">Haziran 2026</t>
  </si>
  <si>
    <t xml:space="preserve">Akdeniz'de rafineri marjı şoku</t>
  </si>
  <si>
    <t xml:space="preserve">İsrail'in Hayfa'daki 197 bin varil/gün kapasiteli rafinerisine saldırı sonrası Akdeniz rafine ürün piyasası sıkıştı. Dizel crack spread ~45 USD/varile çıktı (önceki çeyrek ort. 27,7 USD/varil). Avrupa'da yapısal dizel açığı devam ediyor.</t>
  </si>
  <si>
    <t xml:space="preserve">POZİTİF (geçici)</t>
  </si>
  <si>
    <t xml:space="preserve">Kısa/Orta</t>
  </si>
  <si>
    <t xml:space="preserve">30.09.2026</t>
  </si>
  <si>
    <t xml:space="preserve">2026 ikinci temettü taksiti (yaklaşan)</t>
  </si>
  <si>
    <t xml:space="preserve">13 mlr TL dağıtım; brüt 6,7469533 TL/pay, net 5,7349103 TL/pay. Hak kullanım (ex-date) 30.09.2026, ödeme 02.10.2026. 2026 toplam temettü 33 mlr TL — brüt 17,13 TL/pay, net 14,56 TL/pay.</t>
  </si>
  <si>
    <t xml:space="preserve">POZİTİF (fiyat düzeltmeli)</t>
  </si>
  <si>
    <t xml:space="preserve">16.03.2026</t>
  </si>
  <si>
    <t xml:space="preserve">2026 birinci temettü taksiti (ödendi)</t>
  </si>
  <si>
    <t xml:space="preserve">20 mlr TL; brüt 10,3799282 TL/pay, net 8,8229389 TL/pay. Ödeme 18.03.2026.</t>
  </si>
  <si>
    <t xml:space="preserve">Geçmiş</t>
  </si>
  <si>
    <t xml:space="preserve">29.10.2026</t>
  </si>
  <si>
    <t xml:space="preserve">3Ç26 bilanço tarihi (beklenen)</t>
  </si>
  <si>
    <t xml:space="preserve">TradingView'e göre bir sonraki finansal açıklama tarihi. 2Ç26'da HBK beklentisi 19,49 TL iken gerçekleşme 36,04 TL oldu.</t>
  </si>
  <si>
    <t xml:space="preserve">İZLENECEK</t>
  </si>
  <si>
    <t xml:space="preserve">TÜPRAŞ — ANALİST BEKLENTİLERİ VE HEDEF FİYATLAR</t>
  </si>
  <si>
    <t xml:space="preserve">Kaynak: borsa MCP / yfinance konsensüsü + basında derlenen yurt içi aracı kurum hedefleri (Ağustos 2026).</t>
  </si>
  <si>
    <t xml:space="preserve">Spot (392,25 TL)</t>
  </si>
  <si>
    <t xml:space="preserve">Potansiyel</t>
  </si>
  <si>
    <t xml:space="preserve">Güçlü AL</t>
  </si>
  <si>
    <t xml:space="preserve">yfinance konsensüs dağılımı</t>
  </si>
  <si>
    <t xml:space="preserve">Toplam 27 kurumun 20'si</t>
  </si>
  <si>
    <t xml:space="preserve">TUT</t>
  </si>
  <si>
    <t xml:space="preserve">SAT / Güçlü SAT</t>
  </si>
  <si>
    <t xml:space="preserve">Hiç satış tavsiyesi yok</t>
  </si>
  <si>
    <t xml:space="preserve">Konsensüs ort. hedef (TL)</t>
  </si>
  <si>
    <t xml:space="preserve">Uluslararası konsensüs</t>
  </si>
  <si>
    <t xml:space="preserve">En düşük hedef (TL)</t>
  </si>
  <si>
    <t xml:space="preserve">Marj normalleşmesi senaryosu</t>
  </si>
  <si>
    <t xml:space="preserve">En yüksek hedef (TL)</t>
  </si>
  <si>
    <t xml:space="preserve">Vakıf Yatırım — AL ile takibe başlangıç</t>
  </si>
  <si>
    <t xml:space="preserve">Yurt içi 16 kurum ort. (TL)</t>
  </si>
  <si>
    <t xml:space="preserve">2Ç26 bilanço sonrası güncellenen hedefler</t>
  </si>
  <si>
    <t xml:space="preserve">Yurt içi en düşük (TL)</t>
  </si>
  <si>
    <t xml:space="preserve">Yurt içi en yüksek (TL)</t>
  </si>
  <si>
    <t xml:space="preserve">KAZANÇ BEKLENTİLERİ</t>
  </si>
  <si>
    <t xml:space="preserve">Dönem</t>
  </si>
  <si>
    <t xml:space="preserve">Beklenti (HBK, TL)</t>
  </si>
  <si>
    <t xml:space="preserve">Gerçekleşen (HBK, TL)</t>
  </si>
  <si>
    <t xml:space="preserve">Sürpriz</t>
  </si>
  <si>
    <t xml:space="preserve">2Ç26 (04.08.2026)</t>
  </si>
  <si>
    <t xml:space="preserve">Beklentinin %85 üzerinde</t>
  </si>
  <si>
    <t xml:space="preserve">HBK — TTM</t>
  </si>
  <si>
    <t xml:space="preserve">Son 12 ay</t>
  </si>
  <si>
    <t xml:space="preserve">3Ç26 (29.10.2026)</t>
  </si>
  <si>
    <t xml:space="preserve">Bir sonraki açıklama tarihi</t>
  </si>
  <si>
    <t xml:space="preserve">ŞİRKET REHBERLİĞİ (2026)</t>
  </si>
  <si>
    <t xml:space="preserve">Yıl Başı Hedefi</t>
  </si>
  <si>
    <t xml:space="preserve">2Ç26 Sonrası Revize</t>
  </si>
  <si>
    <t xml:space="preserve">Değişim</t>
  </si>
  <si>
    <t xml:space="preserve">Net rafineri marjı (USD/varil)</t>
  </si>
  <si>
    <t xml:space="preserve">6-7</t>
  </si>
  <si>
    <t xml:space="preserve">13-15</t>
  </si>
  <si>
    <t xml:space="preserve">Yukarı revize</t>
  </si>
  <si>
    <t xml:space="preserve">Tek revize edilen kalem — marj şoku kaynaklı</t>
  </si>
  <si>
    <t xml:space="preserve">Kapasite kullanım oranı</t>
  </si>
  <si>
    <t xml:space="preserve">%95-100</t>
  </si>
  <si>
    <t xml:space="preserve">Değişmedi</t>
  </si>
  <si>
    <t xml:space="preserve">Üretim (mn ton)</t>
  </si>
  <si>
    <t xml:space="preserve">~29</t>
  </si>
  <si>
    <t xml:space="preserve">Satış (mn ton)</t>
  </si>
  <si>
    <t xml:space="preserve">~30</t>
  </si>
  <si>
    <t xml:space="preserve">Yatırım harcaması (mn USD)</t>
  </si>
  <si>
    <t xml:space="preserve">~700</t>
  </si>
  <si>
    <t xml:space="preserve">Serbest nakit akımı koruyucu</t>
  </si>
  <si>
    <t xml:space="preserve">TÜPRAŞ — FİYAT VERİSİ (günlük, son 1 ay ve aylık, son 1 yıl)</t>
  </si>
  <si>
    <t xml:space="preserve">Kaynak: borsa MCP / borsapy. Bölünme düzeltilmiş kapanışlar.</t>
  </si>
  <si>
    <t xml:space="preserve">GÜNLÜK (03.08 – 02.09.2026)</t>
  </si>
  <si>
    <t xml:space="preserve">Açılış</t>
  </si>
  <si>
    <t xml:space="preserve">Yüksek</t>
  </si>
  <si>
    <t xml:space="preserve">Düşük</t>
  </si>
  <si>
    <t xml:space="preserve">Hacim (adet)</t>
  </si>
  <si>
    <t xml:space="preserve">Günlük %</t>
  </si>
  <si>
    <t xml:space="preserve">Gün İçi Aralık %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</si>
  <si>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</si>
  <si>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</si>
  <si>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</si>
  <si>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</si>
  <si>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</si>
  <si>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</si>
  <si>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</si>
  <si>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</si>
  <si>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</si>
  <si>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</si>
  <si>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</si>
  <si>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</si>
  <si>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</si>
  <si>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</si>
  <si>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</si>
  <si>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</si>
  <si>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</si>
  <si>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</si>
  <si>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</si>
  <si>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</si>
  <si>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2026-08-31</t>
  </si>
  <si>
    <t xml:space="preserve">2026-09-01</t>
  </si>
  <si>
    <t xml:space="preserve">2026-09-02</t>
  </si>
  <si>
    <t xml:space="preserve">Zirve/Dip/Getiri/Ort.hacim</t>
  </si>
  <si>
    <t xml:space="preserve">AYLIK (Eyl-2025 – Eyl-2026)</t>
  </si>
  <si>
    <t xml:space="preserve">Ay</t>
  </si>
  <si>
    <t xml:space="preserve">Aylık %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</si>
  <si>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</si>
  <si>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</si>
  <si>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</si>
  <si>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</si>
  <si>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</si>
  <si>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</si>
  <si>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</si>
  <si>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</si>
  <si>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</si>
  <si>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</si>
  <si>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</si>
  <si>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</si>
  <si>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</si>
  <si>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12 aylık getiri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</si>
</sst>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;\(#,##0.00\);\-"/>
    <numFmt numFmtId="166" formatCode="#,##0;\(#,##0\);\-"/>
    <numFmt numFmtId="167" formatCode="0.0%;\(0.0%\);\-"/>
    <numFmt numFmtId="168" formatCode="0.0\x"/>
    <numFmt numFmtId="169" formatCode="0.0&quot;pp&quot;;\(0.0&quot;pp)&quot;"/>
    <numFmt numFmtId="170" formatCode="0.00"/>
    <numFmt numFmtId="171" formatCode="0.0"/>
    <numFmt numFmtId="172" formatCode="0"/>
    <numFmt numFmtId="173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E699"/>
        <bgColor rgb="FFFFFFCC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0"/>
    <col collapsed="false" customWidth="true" hidden="false" outlineLevel="0" max="5" min="5" style="0" width="52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v>392.25</v>
      </c>
      <c r="C5" s="6" t="n">
        <v>402.75</v>
      </c>
      <c r="D5" s="7" t="s">
        <v>8</v>
      </c>
      <c r="E5" s="8" t="s">
        <v>9</v>
      </c>
    </row>
    <row r="6" customFormat="false" ht="15" hidden="false" customHeight="false" outlineLevel="0" collapsed="false">
      <c r="A6" s="5" t="s">
        <v>10</v>
      </c>
      <c r="B6" s="9" t="n">
        <v>755786</v>
      </c>
      <c r="C6" s="6"/>
      <c r="D6" s="7" t="s">
        <v>11</v>
      </c>
      <c r="E6" s="8" t="s">
        <v>12</v>
      </c>
    </row>
    <row r="7" customFormat="false" ht="15" hidden="false" customHeight="false" outlineLevel="0" collapsed="false">
      <c r="A7" s="5" t="s">
        <v>13</v>
      </c>
      <c r="B7" s="6" t="n">
        <v>117.3</v>
      </c>
      <c r="C7" s="6"/>
      <c r="D7" s="7" t="s">
        <v>14</v>
      </c>
      <c r="E7" s="8" t="s">
        <v>15</v>
      </c>
    </row>
    <row r="8" customFormat="false" ht="15" hidden="false" customHeight="false" outlineLevel="0" collapsed="false">
      <c r="A8" s="5" t="s">
        <v>16</v>
      </c>
      <c r="B8" s="6" t="n">
        <v>417.25</v>
      </c>
      <c r="C8" s="6"/>
      <c r="D8" s="7" t="s">
        <v>14</v>
      </c>
      <c r="E8" s="8" t="s">
        <v>17</v>
      </c>
    </row>
    <row r="9" customFormat="false" ht="15" hidden="false" customHeight="false" outlineLevel="0" collapsed="false">
      <c r="A9" s="5" t="s">
        <v>18</v>
      </c>
      <c r="B9" s="6" t="n">
        <v>10.4</v>
      </c>
      <c r="C9" s="6" t="n">
        <v>14.15</v>
      </c>
      <c r="D9" s="7" t="s">
        <v>19</v>
      </c>
      <c r="E9" s="8" t="s">
        <v>20</v>
      </c>
    </row>
    <row r="10" customFormat="false" ht="15" hidden="false" customHeight="false" outlineLevel="0" collapsed="false">
      <c r="A10" s="5" t="s">
        <v>21</v>
      </c>
      <c r="B10" s="6" t="n">
        <v>1.7</v>
      </c>
      <c r="C10" s="6" t="n">
        <v>1.7</v>
      </c>
      <c r="D10" s="7" t="s">
        <v>19</v>
      </c>
      <c r="E10" s="8" t="s">
        <v>22</v>
      </c>
    </row>
    <row r="11" customFormat="false" ht="15" hidden="false" customHeight="false" outlineLevel="0" collapsed="false">
      <c r="A11" s="5" t="s">
        <v>23</v>
      </c>
      <c r="B11" s="6" t="n">
        <v>5.6</v>
      </c>
      <c r="C11" s="6"/>
      <c r="D11" s="7" t="s">
        <v>24</v>
      </c>
      <c r="E11" s="8" t="s">
        <v>25</v>
      </c>
    </row>
    <row r="12" customFormat="false" ht="15" hidden="false" customHeight="false" outlineLevel="0" collapsed="false">
      <c r="A12" s="5" t="s">
        <v>26</v>
      </c>
      <c r="B12" s="10" t="n">
        <v>0.91</v>
      </c>
      <c r="C12" s="6"/>
      <c r="D12" s="7" t="s">
        <v>24</v>
      </c>
      <c r="E12" s="8" t="s">
        <v>27</v>
      </c>
    </row>
    <row r="13" customFormat="false" ht="15" hidden="false" customHeight="false" outlineLevel="0" collapsed="false">
      <c r="A13" s="5" t="s">
        <v>28</v>
      </c>
      <c r="B13" s="10" t="n">
        <v>0.0626</v>
      </c>
      <c r="C13" s="6"/>
      <c r="D13" s="7" t="s">
        <v>29</v>
      </c>
      <c r="E13" s="8" t="s">
        <v>30</v>
      </c>
    </row>
    <row r="14" customFormat="false" ht="15" hidden="false" customHeight="false" outlineLevel="0" collapsed="false">
      <c r="A14" s="5" t="s">
        <v>31</v>
      </c>
      <c r="B14" s="6" t="n">
        <v>36.04</v>
      </c>
      <c r="C14" s="6"/>
      <c r="D14" s="7" t="s">
        <v>14</v>
      </c>
      <c r="E14" s="8" t="s">
        <v>32</v>
      </c>
    </row>
    <row r="15" customFormat="false" ht="15" hidden="false" customHeight="false" outlineLevel="0" collapsed="false">
      <c r="A15" s="5" t="s">
        <v>33</v>
      </c>
      <c r="B15" s="7" t="s">
        <v>34</v>
      </c>
      <c r="C15" s="6"/>
      <c r="D15" s="7" t="s">
        <v>35</v>
      </c>
      <c r="E15" s="8" t="s">
        <v>36</v>
      </c>
    </row>
    <row r="16" customFormat="false" ht="15" hidden="false" customHeight="false" outlineLevel="0" collapsed="false">
      <c r="A16" s="5" t="s">
        <v>37</v>
      </c>
      <c r="B16" s="6" t="n">
        <v>396.98</v>
      </c>
      <c r="C16" s="6" t="n">
        <v>392.25</v>
      </c>
      <c r="D16" s="7" t="s">
        <v>38</v>
      </c>
      <c r="E16" s="8" t="s">
        <v>39</v>
      </c>
    </row>
    <row r="17" customFormat="false" ht="15" hidden="false" customHeight="false" outlineLevel="0" collapsed="false">
      <c r="A17" s="5" t="s">
        <v>40</v>
      </c>
      <c r="B17" s="6" t="n">
        <v>1022.31</v>
      </c>
      <c r="C17" s="6" t="n">
        <v>392.25</v>
      </c>
      <c r="D17" s="7" t="s">
        <v>38</v>
      </c>
      <c r="E17" s="8" t="s">
        <v>41</v>
      </c>
    </row>
    <row r="18" customFormat="false" ht="15" hidden="false" customHeight="false" outlineLevel="0" collapsed="false">
      <c r="A18" s="5" t="s">
        <v>42</v>
      </c>
      <c r="B18" s="6" t="n">
        <v>67.29</v>
      </c>
      <c r="C18" s="6" t="n">
        <v>70</v>
      </c>
      <c r="D18" s="7" t="s">
        <v>43</v>
      </c>
      <c r="E18" s="8" t="s">
        <v>44</v>
      </c>
    </row>
    <row r="19" customFormat="false" ht="15" hidden="false" customHeight="false" outlineLevel="0" collapsed="false">
      <c r="A19" s="5" t="s">
        <v>45</v>
      </c>
      <c r="B19" s="6" t="n">
        <v>94.33</v>
      </c>
      <c r="C19" s="6"/>
      <c r="D19" s="7" t="s">
        <v>46</v>
      </c>
      <c r="E19" s="8" t="s">
        <v>47</v>
      </c>
    </row>
    <row r="20" customFormat="false" ht="15" hidden="false" customHeight="false" outlineLevel="0" collapsed="false">
      <c r="A20" s="5" t="s">
        <v>48</v>
      </c>
      <c r="B20" s="6" t="n">
        <v>48.2913</v>
      </c>
      <c r="C20" s="6"/>
      <c r="D20" s="7" t="s">
        <v>14</v>
      </c>
      <c r="E20" s="8" t="s">
        <v>49</v>
      </c>
    </row>
    <row r="21" customFormat="false" ht="15" hidden="false" customHeight="false" outlineLevel="0" collapsed="false">
      <c r="A21" s="5" t="s">
        <v>50</v>
      </c>
      <c r="B21" s="10" t="n">
        <v>0.3175</v>
      </c>
      <c r="C21" s="6"/>
      <c r="D21" s="7" t="s">
        <v>29</v>
      </c>
      <c r="E21" s="8" t="s">
        <v>51</v>
      </c>
    </row>
    <row r="23" customFormat="false" ht="17.35" hidden="false" customHeight="false" outlineLevel="0" collapsed="false">
      <c r="A23" s="11" t="s">
        <v>52</v>
      </c>
      <c r="B23" s="2"/>
      <c r="C23" s="2"/>
      <c r="D23" s="2"/>
      <c r="E23" s="2"/>
    </row>
    <row r="24" customFormat="false" ht="57.75" hidden="false" customHeight="true" outlineLevel="0" collapsed="false">
      <c r="A24" s="5" t="s">
        <v>53</v>
      </c>
      <c r="B24" s="12" t="s">
        <v>54</v>
      </c>
      <c r="C24" s="13" t="s">
        <v>55</v>
      </c>
      <c r="D24" s="13"/>
      <c r="E24" s="13"/>
    </row>
    <row r="25" customFormat="false" ht="57.75" hidden="false" customHeight="true" outlineLevel="0" collapsed="false">
      <c r="A25" s="5" t="s">
        <v>56</v>
      </c>
      <c r="B25" s="14" t="s">
        <v>57</v>
      </c>
      <c r="C25" s="13" t="s">
        <v>58</v>
      </c>
      <c r="D25" s="13"/>
      <c r="E25" s="13"/>
    </row>
    <row r="26" customFormat="false" ht="57.75" hidden="false" customHeight="true" outlineLevel="0" collapsed="false">
      <c r="A26" s="5" t="s">
        <v>59</v>
      </c>
      <c r="B26" s="15" t="s">
        <v>60</v>
      </c>
      <c r="C26" s="13" t="s">
        <v>61</v>
      </c>
      <c r="D26" s="13"/>
      <c r="E26" s="13"/>
    </row>
    <row r="28" customFormat="false" ht="15" hidden="false" customHeight="true" outlineLevel="0" collapsed="false">
      <c r="A28" s="16" t="s">
        <v>62</v>
      </c>
      <c r="B28" s="16"/>
      <c r="C28" s="16"/>
      <c r="D28" s="16"/>
      <c r="E28" s="16"/>
    </row>
  </sheetData>
  <mergeCells count="5">
    <mergeCell ref="A2:E2"/>
    <mergeCell ref="C24:E24"/>
    <mergeCell ref="C25:E25"/>
    <mergeCell ref="C26:E26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7"/>
    <col collapsed="false" customWidth="true" hidden="false" outlineLevel="0" max="7" min="6" style="0" width="15"/>
  </cols>
  <sheetData>
    <row r="1" customFormat="false" ht="21.75" hidden="false" customHeight="true" outlineLevel="0" collapsed="false">
      <c r="A1" s="1" t="s">
        <v>63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64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customFormat="false" ht="15" hidden="false" customHeight="false" outlineLevel="0" collapsed="false">
      <c r="A5" s="8" t="s">
        <v>72</v>
      </c>
      <c r="B5" s="17" t="n">
        <v>195840.94</v>
      </c>
      <c r="C5" s="17" t="n">
        <v>129900.408</v>
      </c>
      <c r="D5" s="17" t="n">
        <v>126280.9</v>
      </c>
      <c r="E5" s="17" t="n">
        <v>90351.73</v>
      </c>
      <c r="F5" s="18" t="n">
        <f aca="false">IF(C5=0,"",B5/C5-1)</f>
        <v>0.50762374818715</v>
      </c>
      <c r="G5" s="18" t="n">
        <f aca="false">IF(E5=0,"",B5/E5-1)</f>
        <v>1.16753945939939</v>
      </c>
    </row>
    <row r="6" customFormat="false" ht="15" hidden="false" customHeight="false" outlineLevel="0" collapsed="false">
      <c r="A6" s="8" t="s">
        <v>73</v>
      </c>
      <c r="B6" s="17" t="n">
        <v>64043.307</v>
      </c>
      <c r="C6" s="17" t="n">
        <v>45612.602</v>
      </c>
      <c r="D6" s="17" t="n">
        <v>16687.779</v>
      </c>
      <c r="E6" s="17" t="n">
        <v>27112.428</v>
      </c>
      <c r="F6" s="18" t="n">
        <f aca="false">IF(C6=0,"",B6/C6-1)</f>
        <v>0.404070458422872</v>
      </c>
      <c r="G6" s="18" t="n">
        <f aca="false">IF(E6=0,"",B6/E6-1)</f>
        <v>1.3621383890812</v>
      </c>
    </row>
    <row r="7" customFormat="false" ht="15" hidden="false" customHeight="false" outlineLevel="0" collapsed="false">
      <c r="A7" s="19" t="s">
        <v>74</v>
      </c>
      <c r="B7" s="20" t="n">
        <v>439480.874</v>
      </c>
      <c r="C7" s="20" t="n">
        <v>315176.951</v>
      </c>
      <c r="D7" s="20" t="n">
        <v>279006.483</v>
      </c>
      <c r="E7" s="20" t="n">
        <v>229193.632</v>
      </c>
      <c r="F7" s="21" t="n">
        <f aca="false">IF(C7=0,"",B7/C7-1)</f>
        <v>0.394394078011117</v>
      </c>
      <c r="G7" s="21" t="n">
        <f aca="false">IF(E7=0,"",B7/E7-1)</f>
        <v>0.917509095540665</v>
      </c>
    </row>
    <row r="8" customFormat="false" ht="15" hidden="false" customHeight="false" outlineLevel="0" collapsed="false">
      <c r="A8" s="8" t="s">
        <v>75</v>
      </c>
      <c r="B8" s="17" t="n">
        <v>350569.987</v>
      </c>
      <c r="C8" s="17" t="n">
        <v>325672.138</v>
      </c>
      <c r="D8" s="17" t="n">
        <v>348859.596</v>
      </c>
      <c r="E8" s="17" t="n">
        <v>265376.996</v>
      </c>
      <c r="F8" s="18" t="n">
        <f aca="false">IF(C8=0,"",B8/C8-1)</f>
        <v>0.0764506572557953</v>
      </c>
      <c r="G8" s="18" t="n">
        <f aca="false">IF(E8=0,"",B8/E8-1)</f>
        <v>0.321026284433486</v>
      </c>
    </row>
    <row r="9" customFormat="false" ht="15" hidden="false" customHeight="false" outlineLevel="0" collapsed="false">
      <c r="A9" s="8" t="s">
        <v>76</v>
      </c>
      <c r="B9" s="17" t="n">
        <v>11226.804</v>
      </c>
      <c r="C9" s="17" t="n">
        <v>10789.887</v>
      </c>
      <c r="D9" s="17" t="n">
        <v>11924.025</v>
      </c>
      <c r="E9" s="17" t="n">
        <v>8833.094</v>
      </c>
      <c r="F9" s="18" t="n">
        <f aca="false">IF(C9=0,"",B9/C9-1)</f>
        <v>0.0404931951557972</v>
      </c>
      <c r="G9" s="18" t="n">
        <f aca="false">IF(E9=0,"",B9/E9-1)</f>
        <v>0.270993380122526</v>
      </c>
    </row>
    <row r="10" customFormat="false" ht="15" hidden="false" customHeight="false" outlineLevel="0" collapsed="false">
      <c r="A10" s="8" t="s">
        <v>77</v>
      </c>
      <c r="B10" s="17" t="n">
        <v>19800.794</v>
      </c>
      <c r="C10" s="17" t="n">
        <v>18000.193</v>
      </c>
      <c r="D10" s="17" t="n">
        <v>20573.159</v>
      </c>
      <c r="E10" s="17" t="n">
        <v>14815.375</v>
      </c>
      <c r="F10" s="18" t="n">
        <f aca="false">IF(C10=0,"",B10/C10-1)</f>
        <v>0.100032316320164</v>
      </c>
      <c r="G10" s="18" t="n">
        <f aca="false">IF(E10=0,"",B10/E10-1)</f>
        <v>0.336503058478101</v>
      </c>
    </row>
    <row r="11" customFormat="false" ht="15" hidden="false" customHeight="false" outlineLevel="0" collapsed="false">
      <c r="A11" s="19" t="s">
        <v>78</v>
      </c>
      <c r="B11" s="20" t="n">
        <v>420506.642</v>
      </c>
      <c r="C11" s="20" t="n">
        <v>389568.508</v>
      </c>
      <c r="D11" s="20" t="n">
        <v>418092.864</v>
      </c>
      <c r="E11" s="20" t="n">
        <v>316436.625</v>
      </c>
      <c r="F11" s="21" t="n">
        <f aca="false">IF(C11=0,"",B11/C11-1)</f>
        <v>0.0794164142241189</v>
      </c>
      <c r="G11" s="21" t="n">
        <f aca="false">IF(E11=0,"",B11/E11-1)</f>
        <v>0.328881073737909</v>
      </c>
    </row>
    <row r="12" customFormat="false" ht="15" hidden="false" customHeight="false" outlineLevel="0" collapsed="false">
      <c r="A12" s="19" t="s">
        <v>79</v>
      </c>
      <c r="B12" s="20" t="n">
        <v>859987.516</v>
      </c>
      <c r="C12" s="20" t="n">
        <v>704745.459</v>
      </c>
      <c r="D12" s="20" t="n">
        <v>697099.347</v>
      </c>
      <c r="E12" s="20" t="n">
        <v>545630.257</v>
      </c>
      <c r="F12" s="21" t="n">
        <f aca="false">IF(C12=0,"",B12/C12-1)</f>
        <v>0.220281031991722</v>
      </c>
      <c r="G12" s="21" t="n">
        <f aca="false">IF(E12=0,"",B12/E12-1)</f>
        <v>0.576136046282345</v>
      </c>
    </row>
    <row r="13" customFormat="false" ht="15" hidden="false" customHeight="false" outlineLevel="0" collapsed="false">
      <c r="A13" s="19" t="s">
        <v>80</v>
      </c>
      <c r="B13" s="20" t="n">
        <v>325369.321</v>
      </c>
      <c r="C13" s="20" t="n">
        <v>286503.719</v>
      </c>
      <c r="D13" s="20" t="n">
        <v>199892.886</v>
      </c>
      <c r="E13" s="20" t="n">
        <v>187463.553</v>
      </c>
      <c r="F13" s="21" t="n">
        <f aca="false">IF(C13=0,"",B13/C13-1)</f>
        <v>0.135654790575336</v>
      </c>
      <c r="G13" s="21" t="n">
        <f aca="false">IF(E13=0,"",B13/E13-1)</f>
        <v>0.735640426061913</v>
      </c>
    </row>
    <row r="14" customFormat="false" ht="15" hidden="false" customHeight="false" outlineLevel="0" collapsed="false">
      <c r="A14" s="8" t="s">
        <v>81</v>
      </c>
      <c r="B14" s="17" t="n">
        <v>60957.559</v>
      </c>
      <c r="C14" s="17" t="n">
        <v>99595.641</v>
      </c>
      <c r="D14" s="17" t="n">
        <v>45133.347</v>
      </c>
      <c r="E14" s="17" t="n">
        <v>48613.586</v>
      </c>
      <c r="F14" s="18" t="n">
        <f aca="false">IF(C14=0,"",B14/C14-1)</f>
        <v>-0.387949528835303</v>
      </c>
      <c r="G14" s="18" t="n">
        <f aca="false">IF(E14=0,"",B14/E14-1)</f>
        <v>0.253920231270328</v>
      </c>
    </row>
    <row r="15" customFormat="false" ht="15" hidden="false" customHeight="false" outlineLevel="0" collapsed="false">
      <c r="A15" s="19" t="s">
        <v>82</v>
      </c>
      <c r="B15" s="20" t="n">
        <v>71311.414</v>
      </c>
      <c r="C15" s="20" t="n">
        <v>58163.199</v>
      </c>
      <c r="D15" s="20" t="n">
        <v>61702.669</v>
      </c>
      <c r="E15" s="20" t="n">
        <v>46678.151</v>
      </c>
      <c r="F15" s="21" t="n">
        <f aca="false">IF(C15=0,"",B15/C15-1)</f>
        <v>0.226057287529869</v>
      </c>
      <c r="G15" s="21" t="n">
        <f aca="false">IF(E15=0,"",B15/E15-1)</f>
        <v>0.527725766172701</v>
      </c>
    </row>
    <row r="16" customFormat="false" ht="15" hidden="false" customHeight="false" outlineLevel="0" collapsed="false">
      <c r="A16" s="8" t="s">
        <v>83</v>
      </c>
      <c r="B16" s="17" t="n">
        <v>36443.1</v>
      </c>
      <c r="C16" s="17" t="n">
        <v>35817.792</v>
      </c>
      <c r="D16" s="17" t="n">
        <v>33477.291</v>
      </c>
      <c r="E16" s="17" t="n">
        <v>31975.783</v>
      </c>
      <c r="F16" s="18" t="n">
        <f aca="false">IF(C16=0,"",B16/C16-1)</f>
        <v>0.0174580275635081</v>
      </c>
      <c r="G16" s="18" t="n">
        <f aca="false">IF(E16=0,"",B16/E16-1)</f>
        <v>0.139709385693542</v>
      </c>
    </row>
    <row r="17" customFormat="false" ht="15" hidden="false" customHeight="false" outlineLevel="0" collapsed="false">
      <c r="A17" s="8" t="s">
        <v>84</v>
      </c>
      <c r="B17" s="17" t="n">
        <v>30853.182</v>
      </c>
      <c r="C17" s="17" t="n">
        <v>18621.056</v>
      </c>
      <c r="D17" s="17" t="n">
        <v>24098.265</v>
      </c>
      <c r="E17" s="17" t="n">
        <v>12079.385</v>
      </c>
      <c r="F17" s="18" t="n">
        <f aca="false">IF(C17=0,"",B17/C17-1)</f>
        <v>0.656897546519381</v>
      </c>
      <c r="G17" s="18" t="n">
        <f aca="false">IF(E17=0,"",B17/E17-1)</f>
        <v>1.55420139353121</v>
      </c>
    </row>
    <row r="18" customFormat="false" ht="15" hidden="false" customHeight="false" outlineLevel="0" collapsed="false">
      <c r="A18" s="19" t="s">
        <v>85</v>
      </c>
      <c r="B18" s="20" t="n">
        <v>463306.781</v>
      </c>
      <c r="C18" s="20" t="n">
        <v>360078.541</v>
      </c>
      <c r="D18" s="20" t="n">
        <v>435503.792</v>
      </c>
      <c r="E18" s="20" t="n">
        <v>311488.553</v>
      </c>
      <c r="F18" s="21" t="n">
        <f aca="false">IF(C18=0,"",B18/C18-1)</f>
        <v>0.286682565735013</v>
      </c>
      <c r="G18" s="21" t="n">
        <f aca="false">IF(E18=0,"",B18/E18-1)</f>
        <v>0.487395849824375</v>
      </c>
    </row>
    <row r="19" customFormat="false" ht="15" hidden="false" customHeight="false" outlineLevel="0" collapsed="false">
      <c r="A19" s="8" t="s">
        <v>86</v>
      </c>
      <c r="B19" s="17" t="n">
        <v>456139.125</v>
      </c>
      <c r="C19" s="17" t="n">
        <v>353670.74</v>
      </c>
      <c r="D19" s="17" t="n">
        <v>428757.72</v>
      </c>
      <c r="E19" s="17" t="n">
        <v>306637.509</v>
      </c>
      <c r="F19" s="18" t="n">
        <f aca="false">IF(C19=0,"",B19/C19-1)</f>
        <v>0.289728194647937</v>
      </c>
      <c r="G19" s="18" t="n">
        <f aca="false">IF(E19=0,"",B19/E19-1)</f>
        <v>0.487551625655816</v>
      </c>
    </row>
    <row r="20" customFormat="false" ht="15" hidden="false" customHeight="false" outlineLevel="0" collapsed="false">
      <c r="A20" s="8" t="s">
        <v>87</v>
      </c>
      <c r="B20" s="17" t="n">
        <v>276784.892</v>
      </c>
      <c r="C20" s="17" t="n">
        <v>258644.457</v>
      </c>
      <c r="D20" s="17" t="n">
        <v>277100.624</v>
      </c>
      <c r="E20" s="17" t="n">
        <v>209751.941</v>
      </c>
      <c r="F20" s="18" t="n">
        <f aca="false">IF(C20=0,"",B20/C20-1)</f>
        <v>0.0701365697545182</v>
      </c>
      <c r="G20" s="18" t="n">
        <f aca="false">IF(E20=0,"",B20/E20-1)</f>
        <v>0.319582029517429</v>
      </c>
    </row>
    <row r="21" customFormat="false" ht="15" hidden="false" customHeight="false" outlineLevel="0" collapsed="false">
      <c r="A21" s="8" t="s">
        <v>88</v>
      </c>
      <c r="B21" s="17" t="n">
        <v>49847.684</v>
      </c>
      <c r="C21" s="17" t="n">
        <v>3709.759</v>
      </c>
      <c r="D21" s="17" t="n">
        <v>34766.049</v>
      </c>
      <c r="E21" s="17" t="n">
        <v>8986.698</v>
      </c>
      <c r="F21" s="18" t="n">
        <f aca="false">IF(C21=0,"",B21/C21-1)</f>
        <v>12.4369062788176</v>
      </c>
      <c r="G21" s="18" t="n">
        <f aca="false">IF(E21=0,"",B21/E21-1)</f>
        <v>4.54682976995555</v>
      </c>
    </row>
    <row r="22" customFormat="false" ht="15" hidden="false" customHeight="false" outlineLevel="0" collapsed="false">
      <c r="A22" s="8" t="s">
        <v>89</v>
      </c>
      <c r="B22" s="17" t="n">
        <v>1926.796</v>
      </c>
      <c r="C22" s="17" t="n">
        <v>1926.796</v>
      </c>
      <c r="D22" s="17" t="n">
        <v>1926.796</v>
      </c>
      <c r="E22" s="17" t="n">
        <v>1926.796</v>
      </c>
      <c r="F22" s="18" t="n">
        <f aca="false">IF(C22=0,"",B22/C22-1)</f>
        <v>0</v>
      </c>
      <c r="G22" s="18" t="n">
        <f aca="false">IF(E22=0,"",B22/E22-1)</f>
        <v>0</v>
      </c>
    </row>
    <row r="23" customFormat="false" ht="15" hidden="false" customHeight="false" outlineLevel="0" collapsed="false">
      <c r="A23" s="8" t="s">
        <v>90</v>
      </c>
      <c r="B23" s="17" t="n">
        <v>-186333.514</v>
      </c>
      <c r="C23" s="17" t="n">
        <v>-102097.017</v>
      </c>
      <c r="D23" s="17" t="n">
        <v>-97459.871</v>
      </c>
      <c r="E23" s="17" t="n">
        <v>-99317.532</v>
      </c>
      <c r="F23" s="18" t="n">
        <f aca="false">IF(C23=0,"",B23/C23-1)</f>
        <v>0.825063253317185</v>
      </c>
      <c r="G23" s="18" t="n">
        <f aca="false">IF(E23=0,"",B23/E23-1)</f>
        <v>0.87613918960451</v>
      </c>
    </row>
    <row r="25" customFormat="false" ht="15" hidden="false" customHeight="false" outlineLevel="0" collapsed="false">
      <c r="A25" s="22" t="s">
        <v>91</v>
      </c>
      <c r="B25" s="23"/>
      <c r="C25" s="23"/>
      <c r="D25" s="23"/>
      <c r="E25" s="23"/>
      <c r="F25" s="23"/>
      <c r="G25" s="23"/>
    </row>
    <row r="26" customFormat="false" ht="15" hidden="false" customHeight="false" outlineLevel="0" collapsed="false">
      <c r="A26" s="5" t="s">
        <v>92</v>
      </c>
      <c r="B26" s="24" t="n">
        <f aca="false">B7/B13</f>
        <v>1.3507139291722</v>
      </c>
      <c r="C26" s="24" t="n">
        <f aca="false">C7/C13</f>
        <v>1.10007978988922</v>
      </c>
      <c r="D26" s="24" t="n">
        <f aca="false">D7/D13</f>
        <v>1.39577995286936</v>
      </c>
      <c r="E26" s="24" t="n">
        <f aca="false">E7/E13</f>
        <v>1.22260369192939</v>
      </c>
    </row>
    <row r="27" customFormat="false" ht="15" hidden="false" customHeight="false" outlineLevel="0" collapsed="false">
      <c r="A27" s="5" t="s">
        <v>93</v>
      </c>
      <c r="B27" s="18" t="n">
        <f aca="false">B5/B12</f>
        <v>0.227725328980241</v>
      </c>
      <c r="C27" s="18" t="n">
        <f aca="false">C5/C12</f>
        <v>0.184322447688166</v>
      </c>
      <c r="D27" s="18" t="n">
        <f aca="false">D5/D12</f>
        <v>0.181151941317197</v>
      </c>
      <c r="E27" s="18" t="n">
        <f aca="false">E5/E12</f>
        <v>0.1655914950479</v>
      </c>
    </row>
    <row r="28" customFormat="false" ht="15" hidden="false" customHeight="false" outlineLevel="0" collapsed="false">
      <c r="A28" s="5" t="s">
        <v>94</v>
      </c>
      <c r="B28" s="18" t="n">
        <f aca="false">B18/B12</f>
        <v>0.538736635567626</v>
      </c>
      <c r="C28" s="18" t="n">
        <f aca="false">C18/C12</f>
        <v>0.510934176874207</v>
      </c>
      <c r="D28" s="18" t="n">
        <f aca="false">D18/D12</f>
        <v>0.62473705344039</v>
      </c>
      <c r="E28" s="18" t="n">
        <f aca="false">E18/E12</f>
        <v>0.570878445621098</v>
      </c>
    </row>
    <row r="29" customFormat="false" ht="15" hidden="false" customHeight="false" outlineLevel="0" collapsed="false">
      <c r="A29" s="5" t="s">
        <v>95</v>
      </c>
      <c r="B29" s="24" t="n">
        <f aca="false">(B13+B15)/B18</f>
        <v>0.856194537329683</v>
      </c>
      <c r="C29" s="24" t="n">
        <f aca="false">(C13+C15)/C18</f>
        <v>0.957199273921741</v>
      </c>
      <c r="D29" s="24" t="n">
        <f aca="false">(D13+D15)/D18</f>
        <v>0.600673426512897</v>
      </c>
      <c r="E29" s="24" t="n">
        <f aca="false">(E13+E15)/E18</f>
        <v>0.751686383801077</v>
      </c>
    </row>
    <row r="30" customFormat="false" ht="15" hidden="false" customHeight="false" outlineLevel="0" collapsed="false">
      <c r="A30" s="5" t="s">
        <v>96</v>
      </c>
      <c r="B30" s="25" t="n">
        <f aca="false">B19/B22</f>
        <v>236.734519378284</v>
      </c>
      <c r="C30" s="25" t="n">
        <f aca="false">C19/C22</f>
        <v>183.553806422683</v>
      </c>
      <c r="D30" s="25" t="n">
        <f aca="false">D19/D22</f>
        <v>222.523671421365</v>
      </c>
      <c r="E30" s="25" t="n">
        <f aca="false">E19/E22</f>
        <v>159.143733431043</v>
      </c>
    </row>
    <row r="32" customFormat="false" ht="30" hidden="false" customHeight="true" outlineLevel="0" collapsed="false">
      <c r="A32" s="26" t="s">
        <v>97</v>
      </c>
      <c r="B32" s="26"/>
      <c r="C32" s="26"/>
      <c r="D32" s="26"/>
      <c r="E32" s="26"/>
      <c r="F32" s="26"/>
      <c r="G32" s="26"/>
    </row>
  </sheetData>
  <mergeCells count="2">
    <mergeCell ref="A2:G2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7"/>
    <col collapsed="false" customWidth="true" hidden="false" outlineLevel="0" max="4" min="4" style="0" width="16"/>
    <col collapsed="false" customWidth="true" hidden="false" outlineLevel="0" max="7" min="5" style="0" width="17"/>
    <col collapsed="false" customWidth="true" hidden="false" outlineLevel="0" max="8" min="8" style="0" width="15"/>
  </cols>
  <sheetData>
    <row r="1" customFormat="false" ht="21.75" hidden="false" customHeight="true" outlineLevel="0" collapsed="false">
      <c r="A1" s="1" t="s">
        <v>98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99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4" t="s">
        <v>65</v>
      </c>
      <c r="B4" s="4" t="s">
        <v>100</v>
      </c>
      <c r="C4" s="4" t="s">
        <v>101</v>
      </c>
      <c r="D4" s="4" t="s">
        <v>102</v>
      </c>
      <c r="E4" s="4" t="s">
        <v>103</v>
      </c>
      <c r="F4" s="4" t="s">
        <v>104</v>
      </c>
      <c r="G4" s="4" t="s">
        <v>105</v>
      </c>
      <c r="H4" s="4" t="s">
        <v>106</v>
      </c>
    </row>
    <row r="5" customFormat="false" ht="15" hidden="false" customHeight="false" outlineLevel="0" collapsed="false">
      <c r="A5" s="8" t="s">
        <v>107</v>
      </c>
      <c r="B5" s="17" t="n">
        <v>662788.01</v>
      </c>
      <c r="C5" s="17" t="n">
        <v>464119.398</v>
      </c>
      <c r="D5" s="18" t="n">
        <f aca="false">IF(C5=0,"",IF(SIGN(C5)&lt;&gt;SIGN(B5),"n.a.",B5/C5-1))</f>
        <v>0.428054963563493</v>
      </c>
      <c r="E5" s="17" t="n">
        <v>977814.685</v>
      </c>
      <c r="F5" s="17" t="n">
        <v>1060732.568</v>
      </c>
      <c r="G5" s="17" t="n">
        <v>991202.993</v>
      </c>
      <c r="H5" s="17" t="n">
        <v>404534.16</v>
      </c>
    </row>
    <row r="6" customFormat="false" ht="15" hidden="false" customHeight="false" outlineLevel="0" collapsed="false">
      <c r="A6" s="8" t="s">
        <v>108</v>
      </c>
      <c r="B6" s="17" t="n">
        <v>-578662.326</v>
      </c>
      <c r="C6" s="17" t="n">
        <v>-422131.404</v>
      </c>
      <c r="D6" s="18" t="n">
        <f aca="false">IF(C6=0,"",IF(SIGN(C6)&lt;&gt;SIGN(B6),"n.a.",B6/C6-1))</f>
        <v>0.370810890913958</v>
      </c>
      <c r="E6" s="17" t="n">
        <v>-882156.796</v>
      </c>
      <c r="F6" s="17" t="n">
        <v>-971686.119</v>
      </c>
      <c r="G6" s="17" t="n">
        <v>-832772.469</v>
      </c>
      <c r="H6" s="17" t="n">
        <v>-341983.909</v>
      </c>
    </row>
    <row r="7" customFormat="false" ht="15" hidden="false" customHeight="false" outlineLevel="0" collapsed="false">
      <c r="A7" s="19" t="s">
        <v>109</v>
      </c>
      <c r="B7" s="20" t="n">
        <v>84125.684</v>
      </c>
      <c r="C7" s="20" t="n">
        <v>41987.994</v>
      </c>
      <c r="D7" s="21" t="n">
        <f aca="false">IF(C7=0,"",IF(SIGN(C7)&lt;&gt;SIGN(B7),"n.a.",B7/C7-1))</f>
        <v>1.00356520961683</v>
      </c>
      <c r="E7" s="20" t="n">
        <v>95657.889</v>
      </c>
      <c r="F7" s="20" t="n">
        <v>89046.449</v>
      </c>
      <c r="G7" s="20" t="n">
        <v>158430.524</v>
      </c>
      <c r="H7" s="20" t="n">
        <v>62550.251</v>
      </c>
    </row>
    <row r="8" customFormat="false" ht="15" hidden="false" customHeight="false" outlineLevel="0" collapsed="false">
      <c r="A8" s="8" t="s">
        <v>110</v>
      </c>
      <c r="B8" s="17" t="n">
        <v>-7520.531</v>
      </c>
      <c r="C8" s="17" t="n">
        <v>-6011.496</v>
      </c>
      <c r="D8" s="18" t="n">
        <f aca="false">IF(C8=0,"",IF(SIGN(C8)&lt;&gt;SIGN(B8),"n.a.",B8/C8-1))</f>
        <v>0.251024869683021</v>
      </c>
      <c r="E8" s="17" t="n">
        <v>-12853.234</v>
      </c>
      <c r="F8" s="17" t="n">
        <v>-13045.252</v>
      </c>
      <c r="G8" s="17" t="n">
        <v>-9263.098</v>
      </c>
      <c r="H8" s="17" t="n">
        <v>-3985.329</v>
      </c>
    </row>
    <row r="9" customFormat="false" ht="15" hidden="false" customHeight="false" outlineLevel="0" collapsed="false">
      <c r="A9" s="8" t="s">
        <v>111</v>
      </c>
      <c r="B9" s="17" t="n">
        <v>-13882.06</v>
      </c>
      <c r="C9" s="17" t="n">
        <v>-12239.818</v>
      </c>
      <c r="D9" s="18" t="n">
        <f aca="false">IF(C9=0,"",IF(SIGN(C9)&lt;&gt;SIGN(B9),"n.a.",B9/C9-1))</f>
        <v>0.134172093081776</v>
      </c>
      <c r="E9" s="17" t="n">
        <v>-26346.314</v>
      </c>
      <c r="F9" s="17" t="n">
        <v>-21800.405</v>
      </c>
      <c r="G9" s="17" t="n">
        <v>-18567.271</v>
      </c>
      <c r="H9" s="17" t="n">
        <v>-7666.509</v>
      </c>
    </row>
    <row r="10" customFormat="false" ht="15" hidden="false" customHeight="false" outlineLevel="0" collapsed="false">
      <c r="A10" s="8" t="s">
        <v>112</v>
      </c>
      <c r="B10" s="17" t="n">
        <v>-349.166</v>
      </c>
      <c r="C10" s="17" t="n">
        <v>-285.7</v>
      </c>
      <c r="D10" s="18" t="n">
        <f aca="false">IF(C10=0,"",IF(SIGN(C10)&lt;&gt;SIGN(B10),"n.a.",B10/C10-1))</f>
        <v>0.222142107105355</v>
      </c>
      <c r="E10" s="17" t="n">
        <v>-585.688</v>
      </c>
      <c r="F10" s="17" t="n">
        <v>-419.836</v>
      </c>
      <c r="G10" s="17" t="n">
        <v>-404.209</v>
      </c>
      <c r="H10" s="17" t="n">
        <v>-180.683</v>
      </c>
    </row>
    <row r="11" customFormat="false" ht="15" hidden="false" customHeight="false" outlineLevel="0" collapsed="false">
      <c r="A11" s="8" t="s">
        <v>113</v>
      </c>
      <c r="B11" s="17" t="n">
        <v>62373.927</v>
      </c>
      <c r="C11" s="17" t="n">
        <v>23450.98</v>
      </c>
      <c r="D11" s="18" t="n">
        <f aca="false">IF(C11=0,"",IF(SIGN(C11)&lt;&gt;SIGN(B11),"n.a.",B11/C11-1))</f>
        <v>1.65975780116652</v>
      </c>
      <c r="E11" s="17" t="n">
        <v>55872.653</v>
      </c>
      <c r="F11" s="17" t="n">
        <v>53780.956</v>
      </c>
      <c r="G11" s="17" t="n">
        <v>130195.946</v>
      </c>
      <c r="H11" s="17" t="n">
        <v>50717.73</v>
      </c>
    </row>
    <row r="12" customFormat="false" ht="15" hidden="false" customHeight="false" outlineLevel="0" collapsed="false">
      <c r="A12" s="19" t="s">
        <v>114</v>
      </c>
      <c r="B12" s="20" t="n">
        <v>59025.244</v>
      </c>
      <c r="C12" s="20" t="n">
        <v>18160.918</v>
      </c>
      <c r="D12" s="21" t="n">
        <f aca="false">IF(C12=0,"",IF(SIGN(C12)&lt;&gt;SIGN(B12),"n.a.",B12/C12-1))</f>
        <v>2.25012447058018</v>
      </c>
      <c r="E12" s="20" t="n">
        <v>49042.749</v>
      </c>
      <c r="F12" s="20" t="n">
        <v>46741.606</v>
      </c>
      <c r="G12" s="20" t="n">
        <v>106303.044</v>
      </c>
      <c r="H12" s="20" t="n">
        <v>47632.76</v>
      </c>
    </row>
    <row r="13" customFormat="false" ht="15" hidden="false" customHeight="false" outlineLevel="0" collapsed="false">
      <c r="A13" s="8" t="s">
        <v>115</v>
      </c>
      <c r="B13" s="17" t="n">
        <v>8872.312</v>
      </c>
      <c r="C13" s="17" t="n">
        <v>8554.334</v>
      </c>
      <c r="D13" s="18" t="n">
        <f aca="false">IF(C13=0,"",IF(SIGN(C13)&lt;&gt;SIGN(B13),"n.a.",B13/C13-1))</f>
        <v>0.0371715670676407</v>
      </c>
      <c r="E13" s="17" t="n">
        <v>17223.191</v>
      </c>
      <c r="F13" s="17" t="n">
        <v>12586.75</v>
      </c>
      <c r="G13" s="17" t="n">
        <v>8754.469</v>
      </c>
      <c r="H13" s="17" t="n">
        <v>4732.955</v>
      </c>
    </row>
    <row r="14" customFormat="false" ht="15" hidden="false" customHeight="false" outlineLevel="0" collapsed="false">
      <c r="A14" s="19" t="s">
        <v>116</v>
      </c>
      <c r="B14" s="20" t="n">
        <v>71246.239</v>
      </c>
      <c r="C14" s="20" t="n">
        <v>32005.314</v>
      </c>
      <c r="D14" s="21" t="n">
        <f aca="false">IF(C14=0,"",IF(SIGN(C14)&lt;&gt;SIGN(B14),"n.a.",B14/C14-1))</f>
        <v>1.22607530112031</v>
      </c>
      <c r="E14" s="20" t="n">
        <v>73095.844</v>
      </c>
      <c r="F14" s="20" t="n">
        <v>66367.706</v>
      </c>
      <c r="G14" s="20" t="n">
        <v>138950.415</v>
      </c>
      <c r="H14" s="20" t="n">
        <v>55450.685</v>
      </c>
    </row>
    <row r="15" customFormat="false" ht="15" hidden="false" customHeight="false" outlineLevel="0" collapsed="false">
      <c r="A15" s="8" t="s">
        <v>117</v>
      </c>
      <c r="B15" s="17" t="n">
        <v>1343.142</v>
      </c>
      <c r="C15" s="17" t="n">
        <v>-848.646</v>
      </c>
      <c r="D15" s="18" t="str">
        <f aca="false">IF(C15=0,"",IF(SIGN(C15)&lt;&gt;SIGN(B15),"n.a.",B15/C15-1))</f>
        <v>n.a.</v>
      </c>
      <c r="E15" s="17" t="n">
        <v>981.198</v>
      </c>
      <c r="F15" s="17" t="n">
        <v>-7056.318</v>
      </c>
      <c r="G15" s="17" t="n">
        <v>-24459.428</v>
      </c>
      <c r="H15" s="17" t="n">
        <v>1416.373</v>
      </c>
    </row>
    <row r="16" customFormat="false" ht="15" hidden="false" customHeight="false" outlineLevel="0" collapsed="false">
      <c r="A16" s="19" t="s">
        <v>118</v>
      </c>
      <c r="B16" s="20" t="n">
        <v>61029.781</v>
      </c>
      <c r="C16" s="20" t="n">
        <v>18104.917</v>
      </c>
      <c r="D16" s="21" t="n">
        <f aca="false">IF(C16=0,"",IF(SIGN(C16)&lt;&gt;SIGN(B16),"n.a.",B16/C16-1))</f>
        <v>2.37089537610142</v>
      </c>
      <c r="E16" s="20" t="n">
        <v>51541.378</v>
      </c>
      <c r="F16" s="20" t="n">
        <v>41552.429</v>
      </c>
      <c r="G16" s="20" t="n">
        <v>83480.454</v>
      </c>
      <c r="H16" s="20" t="n">
        <v>50646.934</v>
      </c>
    </row>
    <row r="17" customFormat="false" ht="15" hidden="false" customHeight="false" outlineLevel="0" collapsed="false">
      <c r="A17" s="8" t="s">
        <v>119</v>
      </c>
      <c r="B17" s="17" t="n">
        <v>-10757.308</v>
      </c>
      <c r="C17" s="17" t="n">
        <v>-6123.357</v>
      </c>
      <c r="D17" s="18" t="n">
        <f aca="false">IF(C17=0,"",IF(SIGN(C17)&lt;&gt;SIGN(B17),"n.a.",B17/C17-1))</f>
        <v>0.7567664273045</v>
      </c>
      <c r="E17" s="17" t="n">
        <v>-16363.776</v>
      </c>
      <c r="F17" s="17" t="n">
        <v>-16638.855</v>
      </c>
      <c r="G17" s="17" t="n">
        <v>-5700.367</v>
      </c>
      <c r="H17" s="17" t="n">
        <v>-4189.561</v>
      </c>
    </row>
    <row r="18" customFormat="false" ht="15" hidden="false" customHeight="false" outlineLevel="0" collapsed="false">
      <c r="A18" s="19" t="s">
        <v>120</v>
      </c>
      <c r="B18" s="20" t="n">
        <v>50272.473</v>
      </c>
      <c r="C18" s="20" t="n">
        <v>11981.56</v>
      </c>
      <c r="D18" s="21" t="n">
        <f aca="false">IF(C18=0,"",IF(SIGN(C18)&lt;&gt;SIGN(B18),"n.a.",B18/C18-1))</f>
        <v>3.19582032723619</v>
      </c>
      <c r="E18" s="20" t="n">
        <v>35177.602</v>
      </c>
      <c r="F18" s="20" t="n">
        <v>24913.575</v>
      </c>
      <c r="G18" s="20" t="n">
        <v>77780.087</v>
      </c>
      <c r="H18" s="20" t="n">
        <v>46457.373</v>
      </c>
    </row>
    <row r="19" customFormat="false" ht="15" hidden="false" customHeight="false" outlineLevel="0" collapsed="false">
      <c r="A19" s="8" t="s">
        <v>121</v>
      </c>
      <c r="B19" s="17" t="n">
        <v>49847.684</v>
      </c>
      <c r="C19" s="17" t="n">
        <v>11872.237</v>
      </c>
      <c r="D19" s="18" t="n">
        <f aca="false">IF(C19=0,"",IF(SIGN(C19)&lt;&gt;SIGN(B19),"n.a.",B19/C19-1))</f>
        <v>3.19867662682273</v>
      </c>
      <c r="E19" s="17" t="n">
        <v>34766.049</v>
      </c>
      <c r="F19" s="17" t="n">
        <v>23973.136</v>
      </c>
      <c r="G19" s="17" t="n">
        <v>77354.421</v>
      </c>
      <c r="H19" s="17" t="n">
        <v>46137.925</v>
      </c>
    </row>
    <row r="20" customFormat="false" ht="15" hidden="false" customHeight="false" outlineLevel="0" collapsed="false">
      <c r="A20" s="8" t="s">
        <v>122</v>
      </c>
      <c r="B20" s="25" t="n">
        <v>25.87</v>
      </c>
      <c r="C20" s="25" t="n">
        <v>6.161</v>
      </c>
      <c r="D20" s="18" t="n">
        <f aca="false">IF(C20=0,"",IF(SIGN(C20)&lt;&gt;SIGN(B20),"n.a.",B20/C20-1))</f>
        <v>3.19899366985879</v>
      </c>
      <c r="E20" s="25" t="n">
        <v>18.043</v>
      </c>
      <c r="F20" s="25" t="n">
        <v>12.442</v>
      </c>
      <c r="G20" s="25" t="n">
        <v>40.147</v>
      </c>
      <c r="H20" s="25" t="n">
        <v>23.945</v>
      </c>
    </row>
    <row r="22" customFormat="false" ht="15" hidden="false" customHeight="false" outlineLevel="0" collapsed="false">
      <c r="A22" s="22" t="s">
        <v>123</v>
      </c>
      <c r="B22" s="23"/>
      <c r="C22" s="23"/>
      <c r="D22" s="23"/>
      <c r="E22" s="23"/>
      <c r="F22" s="23"/>
      <c r="G22" s="23"/>
      <c r="H22" s="23"/>
    </row>
    <row r="23" customFormat="false" ht="15" hidden="false" customHeight="false" outlineLevel="0" collapsed="false">
      <c r="A23" s="5" t="s">
        <v>124</v>
      </c>
      <c r="B23" s="18" t="n">
        <f aca="false">B7/B5</f>
        <v>0.126926985296551</v>
      </c>
      <c r="C23" s="18" t="n">
        <f aca="false">C7/C5</f>
        <v>0.090468086834845</v>
      </c>
      <c r="D23" s="27" t="n">
        <f aca="false">B23-C23</f>
        <v>0.0364588984617055</v>
      </c>
      <c r="E23" s="18" t="n">
        <f aca="false">E7/E5</f>
        <v>0.097828239304874</v>
      </c>
      <c r="F23" s="18" t="n">
        <f aca="false">F7/F5</f>
        <v>0.0839480672945643</v>
      </c>
      <c r="G23" s="18" t="n">
        <f aca="false">G7/G5</f>
        <v>0.159836607757297</v>
      </c>
      <c r="H23" s="18" t="n">
        <f aca="false">H7/H5</f>
        <v>0.154622914910326</v>
      </c>
    </row>
    <row r="24" customFormat="false" ht="15" hidden="false" customHeight="false" outlineLevel="0" collapsed="false">
      <c r="A24" s="5" t="s">
        <v>125</v>
      </c>
      <c r="B24" s="18" t="n">
        <f aca="false">B12/B5</f>
        <v>0.0890559924281068</v>
      </c>
      <c r="C24" s="18" t="n">
        <f aca="false">C12/C5</f>
        <v>0.0391298404640265</v>
      </c>
      <c r="D24" s="27" t="n">
        <f aca="false">B24-C24</f>
        <v>0.0499261519640804</v>
      </c>
      <c r="E24" s="18" t="n">
        <f aca="false">E12/E5</f>
        <v>0.0501554637625431</v>
      </c>
      <c r="F24" s="18" t="n">
        <f aca="false">F12/F5</f>
        <v>0.0440654010351835</v>
      </c>
      <c r="G24" s="18" t="n">
        <f aca="false">G12/G5</f>
        <v>0.107246492142099</v>
      </c>
      <c r="H24" s="18" t="n">
        <f aca="false">H12/H5</f>
        <v>0.117747188519259</v>
      </c>
    </row>
    <row r="25" customFormat="false" ht="15" hidden="false" customHeight="false" outlineLevel="0" collapsed="false">
      <c r="A25" s="5" t="s">
        <v>126</v>
      </c>
      <c r="B25" s="18" t="n">
        <f aca="false">B14/B5</f>
        <v>0.107494761409459</v>
      </c>
      <c r="C25" s="18" t="n">
        <f aca="false">C14/C5</f>
        <v>0.0689592250139047</v>
      </c>
      <c r="D25" s="27" t="n">
        <f aca="false">B25-C25</f>
        <v>0.0385355363955541</v>
      </c>
      <c r="E25" s="18" t="n">
        <f aca="false">E14/E5</f>
        <v>0.0747542915046321</v>
      </c>
      <c r="F25" s="18" t="n">
        <f aca="false">F14/F5</f>
        <v>0.0625678026697489</v>
      </c>
      <c r="G25" s="18" t="n">
        <f aca="false">G14/G5</f>
        <v>0.140183611209092</v>
      </c>
      <c r="H25" s="18" t="n">
        <f aca="false">H14/H5</f>
        <v>0.137072935941924</v>
      </c>
    </row>
    <row r="26" customFormat="false" ht="15" hidden="false" customHeight="false" outlineLevel="0" collapsed="false">
      <c r="A26" s="5" t="s">
        <v>127</v>
      </c>
      <c r="B26" s="18" t="n">
        <f aca="false">B19/B5</f>
        <v>0.0752090913654277</v>
      </c>
      <c r="C26" s="18" t="n">
        <f aca="false">C19/C5</f>
        <v>0.0255801353081993</v>
      </c>
      <c r="D26" s="27" t="n">
        <f aca="false">B26-C26</f>
        <v>0.0496289560572284</v>
      </c>
      <c r="E26" s="18" t="n">
        <f aca="false">E19/E5</f>
        <v>0.0355548444233071</v>
      </c>
      <c r="F26" s="18" t="n">
        <f aca="false">F19/F5</f>
        <v>0.0226005467572294</v>
      </c>
      <c r="G26" s="18" t="n">
        <f aca="false">G19/G5</f>
        <v>0.0780409477637645</v>
      </c>
      <c r="H26" s="18" t="n">
        <f aca="false">H19/H5</f>
        <v>0.114051987599762</v>
      </c>
    </row>
    <row r="28" customFormat="false" ht="30" hidden="false" customHeight="true" outlineLevel="0" collapsed="false">
      <c r="A28" s="26" t="s">
        <v>128</v>
      </c>
      <c r="B28" s="26"/>
      <c r="C28" s="26"/>
      <c r="D28" s="26"/>
      <c r="E28" s="26"/>
      <c r="F28" s="26"/>
      <c r="G28" s="26"/>
      <c r="H28" s="26"/>
    </row>
  </sheetData>
  <mergeCells count="2">
    <mergeCell ref="A2:H2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6" min="5" style="0" width="18"/>
  </cols>
  <sheetData>
    <row r="1" customFormat="false" ht="21.75" hidden="false" customHeight="true" outlineLevel="0" collapsed="false">
      <c r="A1" s="1" t="s">
        <v>129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130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4" t="s">
        <v>65</v>
      </c>
      <c r="B4" s="4" t="s">
        <v>100</v>
      </c>
      <c r="C4" s="4" t="s">
        <v>101</v>
      </c>
      <c r="D4" s="4" t="s">
        <v>102</v>
      </c>
      <c r="E4" s="4" t="s">
        <v>131</v>
      </c>
      <c r="F4" s="4" t="s">
        <v>132</v>
      </c>
    </row>
    <row r="5" customFormat="false" ht="15" hidden="false" customHeight="false" outlineLevel="0" collapsed="false">
      <c r="A5" s="8" t="s">
        <v>133</v>
      </c>
      <c r="B5" s="17" t="n">
        <v>50272.473</v>
      </c>
      <c r="C5" s="17" t="n">
        <v>11981.56</v>
      </c>
      <c r="D5" s="18" t="n">
        <f aca="false">IF(C5=0,"",IF(SIGN(C5)&lt;&gt;SIGN(B5),"n.a.",B5/C5-1))</f>
        <v>3.19582032723619</v>
      </c>
      <c r="E5" s="17" t="n">
        <v>35177.602</v>
      </c>
      <c r="F5" s="17" t="n">
        <v>24913.575</v>
      </c>
    </row>
    <row r="6" customFormat="false" ht="15" hidden="false" customHeight="false" outlineLevel="0" collapsed="false">
      <c r="A6" s="8" t="s">
        <v>115</v>
      </c>
      <c r="B6" s="17" t="n">
        <v>8872.312</v>
      </c>
      <c r="C6" s="17" t="n">
        <v>8554.334</v>
      </c>
      <c r="D6" s="18" t="n">
        <f aca="false">IF(C6=0,"",IF(SIGN(C6)&lt;&gt;SIGN(B6),"n.a.",B6/C6-1))</f>
        <v>0.0371715670676407</v>
      </c>
      <c r="E6" s="17" t="n">
        <v>17223.191</v>
      </c>
      <c r="F6" s="17" t="n">
        <v>12586.75</v>
      </c>
    </row>
    <row r="7" customFormat="false" ht="15" hidden="false" customHeight="false" outlineLevel="0" collapsed="false">
      <c r="A7" s="8" t="s">
        <v>134</v>
      </c>
      <c r="B7" s="17" t="n">
        <v>34035.937</v>
      </c>
      <c r="C7" s="17" t="n">
        <v>-49016.033</v>
      </c>
      <c r="D7" s="18" t="str">
        <f aca="false">IF(C7=0,"",IF(SIGN(C7)&lt;&gt;SIGN(B7),"n.a.",B7/C7-1))</f>
        <v>n.a.</v>
      </c>
      <c r="E7" s="17" t="n">
        <v>-21123.427</v>
      </c>
      <c r="F7" s="17" t="n">
        <v>-9726.43</v>
      </c>
    </row>
    <row r="8" customFormat="false" ht="15" hidden="false" customHeight="false" outlineLevel="0" collapsed="false">
      <c r="A8" s="19" t="s">
        <v>135</v>
      </c>
      <c r="B8" s="20" t="n">
        <v>132366.363</v>
      </c>
      <c r="C8" s="20" t="n">
        <v>15012.559</v>
      </c>
      <c r="D8" s="21" t="n">
        <f aca="false">IF(C8=0,"",IF(SIGN(C8)&lt;&gt;SIGN(B8),"n.a.",B8/C8-1))</f>
        <v>7.81704198464766</v>
      </c>
      <c r="E8" s="20" t="n">
        <v>58248.915</v>
      </c>
      <c r="F8" s="20" t="n">
        <v>46167.074</v>
      </c>
    </row>
    <row r="9" customFormat="false" ht="15" hidden="false" customHeight="false" outlineLevel="0" collapsed="false">
      <c r="A9" s="8" t="s">
        <v>136</v>
      </c>
      <c r="B9" s="17" t="n">
        <v>-11856.999</v>
      </c>
      <c r="C9" s="17" t="n">
        <v>-10889.286</v>
      </c>
      <c r="D9" s="18" t="n">
        <f aca="false">IF(C9=0,"",IF(SIGN(C9)&lt;&gt;SIGN(B9),"n.a.",B9/C9-1))</f>
        <v>0.0888683610660974</v>
      </c>
      <c r="E9" s="17" t="n">
        <v>-22464.984</v>
      </c>
      <c r="F9" s="17" t="n">
        <v>-18050.188</v>
      </c>
    </row>
    <row r="10" customFormat="false" ht="15" hidden="false" customHeight="false" outlineLevel="0" collapsed="false">
      <c r="A10" s="8" t="s">
        <v>137</v>
      </c>
      <c r="B10" s="17" t="n">
        <v>-13564.562</v>
      </c>
      <c r="C10" s="17" t="n">
        <v>-11371.542</v>
      </c>
      <c r="D10" s="18" t="n">
        <f aca="false">IF(C10=0,"",IF(SIGN(C10)&lt;&gt;SIGN(B10),"n.a.",B10/C10-1))</f>
        <v>0.192851593917518</v>
      </c>
      <c r="E10" s="17" t="n">
        <v>-22864.431</v>
      </c>
      <c r="F10" s="17" t="n">
        <v>-15563.691</v>
      </c>
    </row>
    <row r="11" customFormat="false" ht="15" hidden="false" customHeight="false" outlineLevel="0" collapsed="false">
      <c r="A11" s="19" t="s">
        <v>138</v>
      </c>
      <c r="B11" s="20" t="n">
        <v>118801.801</v>
      </c>
      <c r="C11" s="20" t="n">
        <v>3641.017</v>
      </c>
      <c r="D11" s="21" t="n">
        <f aca="false">IF(C11=0,"",IF(SIGN(C11)&lt;&gt;SIGN(B11),"n.a.",B11/C11-1))</f>
        <v>31.6287410907447</v>
      </c>
      <c r="E11" s="20" t="n">
        <v>35384.483</v>
      </c>
      <c r="F11" s="20" t="n">
        <v>30603.383</v>
      </c>
    </row>
    <row r="12" customFormat="false" ht="15" hidden="false" customHeight="false" outlineLevel="0" collapsed="false">
      <c r="A12" s="8" t="s">
        <v>139</v>
      </c>
      <c r="B12" s="17" t="n">
        <v>-21402.951</v>
      </c>
      <c r="C12" s="17" t="n">
        <v>-20720.229</v>
      </c>
      <c r="D12" s="18" t="n">
        <f aca="false">IF(C12=0,"",IF(SIGN(C12)&lt;&gt;SIGN(B12),"n.a.",B12/C12-1))</f>
        <v>0.0329495393125241</v>
      </c>
      <c r="E12" s="17" t="n">
        <v>-41032.8</v>
      </c>
      <c r="F12" s="17" t="n">
        <v>-63827.71</v>
      </c>
    </row>
    <row r="13" customFormat="false" ht="15" hidden="false" customHeight="false" outlineLevel="0" collapsed="false">
      <c r="A13" s="8" t="s">
        <v>140</v>
      </c>
      <c r="B13" s="17" t="n">
        <v>16377.204</v>
      </c>
      <c r="C13" s="17" t="n">
        <v>29220.354</v>
      </c>
      <c r="D13" s="18" t="n">
        <f aca="false">IF(C13=0,"",IF(SIGN(C13)&lt;&gt;SIGN(B13),"n.a.",B13/C13-1))</f>
        <v>-0.43952752933794</v>
      </c>
      <c r="E13" s="17" t="n">
        <v>36940.277</v>
      </c>
      <c r="F13" s="17" t="n">
        <v>-32168.215</v>
      </c>
    </row>
    <row r="14" customFormat="false" ht="15" hidden="false" customHeight="false" outlineLevel="0" collapsed="false">
      <c r="A14" s="8" t="s">
        <v>141</v>
      </c>
      <c r="B14" s="17" t="n">
        <v>-45160.214</v>
      </c>
      <c r="C14" s="17" t="n">
        <v>11744.926</v>
      </c>
      <c r="D14" s="18" t="str">
        <f aca="false">IF(C14=0,"",IF(SIGN(C14)&lt;&gt;SIGN(B14),"n.a.",B14/C14-1))</f>
        <v>n.a.</v>
      </c>
      <c r="E14" s="17" t="n">
        <v>169.6</v>
      </c>
      <c r="F14" s="17" t="n">
        <v>-75571.511</v>
      </c>
    </row>
    <row r="15" customFormat="false" ht="15" hidden="false" customHeight="false" outlineLevel="0" collapsed="false">
      <c r="A15" s="8" t="s">
        <v>142</v>
      </c>
      <c r="B15" s="17" t="n">
        <v>77926.167</v>
      </c>
      <c r="C15" s="17" t="n">
        <v>17814.631</v>
      </c>
      <c r="D15" s="18" t="n">
        <f aca="false">IF(C15=0,"",IF(SIGN(C15)&lt;&gt;SIGN(B15),"n.a.",B15/C15-1))</f>
        <v>3.374279040638</v>
      </c>
      <c r="E15" s="17" t="n">
        <v>41512.199</v>
      </c>
      <c r="F15" s="17" t="n">
        <v>-42074.706</v>
      </c>
    </row>
    <row r="16" customFormat="false" ht="15" hidden="false" customHeight="false" outlineLevel="0" collapsed="false">
      <c r="A16" s="19" t="s">
        <v>143</v>
      </c>
      <c r="B16" s="20" t="n">
        <v>164585.006</v>
      </c>
      <c r="C16" s="20" t="n">
        <v>96754.791</v>
      </c>
      <c r="D16" s="21" t="n">
        <f aca="false">IF(C16=0,"",IF(SIGN(C16)&lt;&gt;SIGN(B16),"n.a.",B16/C16-1))</f>
        <v>0.701052777841254</v>
      </c>
      <c r="E16" s="20" t="n">
        <v>106727.848</v>
      </c>
      <c r="F16" s="20" t="n">
        <v>77507.034</v>
      </c>
    </row>
    <row r="17" customFormat="false" ht="15" hidden="false" customHeight="false" outlineLevel="0" collapsed="false">
      <c r="A17" s="8" t="s">
        <v>144</v>
      </c>
      <c r="B17" s="17" t="n">
        <v>529793.167</v>
      </c>
      <c r="C17" s="17" t="n">
        <v>365938.212</v>
      </c>
      <c r="D17" s="18" t="n">
        <f aca="false">IF(C17=0,"",IF(SIGN(C17)&lt;&gt;SIGN(B17),"n.a.",B17/C17-1))</f>
        <v>0.447766725711607</v>
      </c>
      <c r="E17" s="17" t="n">
        <v>819013.868</v>
      </c>
      <c r="F17" s="17" t="n">
        <v>880709.835</v>
      </c>
    </row>
    <row r="18" customFormat="false" ht="15" hidden="false" customHeight="false" outlineLevel="0" collapsed="false">
      <c r="A18" s="8" t="s">
        <v>145</v>
      </c>
      <c r="B18" s="17" t="n">
        <v>141303.619</v>
      </c>
      <c r="C18" s="17" t="n">
        <v>103650.28</v>
      </c>
      <c r="D18" s="18" t="n">
        <f aca="false">IF(C18=0,"",IF(SIGN(C18)&lt;&gt;SIGN(B18),"n.a.",B18/C18-1))</f>
        <v>0.36327291156377</v>
      </c>
      <c r="E18" s="17" t="n">
        <v>171547.735</v>
      </c>
      <c r="F18" s="17" t="n">
        <v>192073.559</v>
      </c>
    </row>
    <row r="20" customFormat="false" ht="15" hidden="false" customHeight="false" outlineLevel="0" collapsed="false">
      <c r="A20" s="22" t="s">
        <v>146</v>
      </c>
      <c r="B20" s="23"/>
      <c r="C20" s="23"/>
      <c r="D20" s="23"/>
      <c r="E20" s="23"/>
      <c r="F20" s="23"/>
    </row>
    <row r="21" customFormat="false" ht="15" hidden="false" customHeight="false" outlineLevel="0" collapsed="false">
      <c r="A21" s="5" t="s">
        <v>147</v>
      </c>
      <c r="B21" s="18" t="n">
        <f aca="false">B11*2/755786</f>
        <v>0.314379469849931</v>
      </c>
      <c r="C21" s="18" t="n">
        <f aca="false">C11*2/755786</f>
        <v>0.00963504748698706</v>
      </c>
      <c r="E21" s="18" t="n">
        <f aca="false">E11/755786</f>
        <v>0.0468181244426332</v>
      </c>
      <c r="F21" s="18" t="n">
        <f aca="false">F11/755786</f>
        <v>0.0404921274011427</v>
      </c>
    </row>
    <row r="22" customFormat="false" ht="15" hidden="false" customHeight="false" outlineLevel="0" collapsed="false">
      <c r="A22" s="5" t="s">
        <v>148</v>
      </c>
      <c r="B22" s="18" t="n">
        <f aca="false">-B12/B11</f>
        <v>0.18015678903723</v>
      </c>
      <c r="C22" s="18" t="n">
        <f aca="false">-C12/C11</f>
        <v>5.69078062530332</v>
      </c>
      <c r="E22" s="18" t="n">
        <f aca="false">-E12/E11</f>
        <v>1.15962694721299</v>
      </c>
      <c r="F22" s="18" t="n">
        <f aca="false">-F12/F11</f>
        <v>2.08564229647422</v>
      </c>
    </row>
    <row r="23" customFormat="false" ht="15" hidden="false" customHeight="false" outlineLevel="0" collapsed="false">
      <c r="A23" s="5" t="s">
        <v>149</v>
      </c>
      <c r="B23" s="18" t="n">
        <f aca="false">B18/(B17+B18)</f>
        <v>0.210556244565296</v>
      </c>
      <c r="C23" s="18" t="n">
        <f aca="false">C18/(C17+C18)</f>
        <v>0.220725766848648</v>
      </c>
      <c r="E23" s="18" t="n">
        <f aca="false">E18/(E17+E18)</f>
        <v>0.173182298284582</v>
      </c>
      <c r="F23" s="18" t="n">
        <f aca="false">F18/(F17+F18)</f>
        <v>0.179042255943048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" t="s">
        <v>150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151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4" t="s">
        <v>152</v>
      </c>
      <c r="B4" s="4" t="s">
        <v>153</v>
      </c>
      <c r="C4" s="4" t="s">
        <v>154</v>
      </c>
      <c r="D4" s="4" t="s">
        <v>155</v>
      </c>
      <c r="E4" s="4"/>
      <c r="F4" s="4"/>
      <c r="G4" s="4" t="s">
        <v>6</v>
      </c>
    </row>
    <row r="5" customFormat="false" ht="15" hidden="false" customHeight="false" outlineLevel="0" collapsed="false">
      <c r="A5" s="5" t="s">
        <v>18</v>
      </c>
      <c r="B5" s="28" t="n">
        <v>10.4</v>
      </c>
      <c r="C5" s="28" t="n">
        <v>14.15</v>
      </c>
      <c r="D5" s="10" t="n">
        <f aca="false">B5/C5-1</f>
        <v>-0.265017667844523</v>
      </c>
      <c r="E5" s="29"/>
      <c r="F5" s="29"/>
      <c r="G5" s="8" t="s">
        <v>156</v>
      </c>
    </row>
    <row r="6" customFormat="false" ht="15" hidden="false" customHeight="false" outlineLevel="0" collapsed="false">
      <c r="A6" s="5" t="s">
        <v>21</v>
      </c>
      <c r="B6" s="28" t="n">
        <v>1.7</v>
      </c>
      <c r="C6" s="28" t="n">
        <v>1.7</v>
      </c>
      <c r="D6" s="10" t="n">
        <f aca="false">B6/C6-1</f>
        <v>0</v>
      </c>
      <c r="E6" s="29"/>
      <c r="F6" s="29"/>
      <c r="G6" s="8" t="s">
        <v>157</v>
      </c>
    </row>
    <row r="7" customFormat="false" ht="23.85" hidden="false" customHeight="false" outlineLevel="0" collapsed="false">
      <c r="A7" s="5" t="s">
        <v>158</v>
      </c>
      <c r="B7" s="28" t="n">
        <v>5.6</v>
      </c>
      <c r="C7" s="28"/>
      <c r="D7" s="7"/>
      <c r="E7" s="29"/>
      <c r="F7" s="29"/>
      <c r="G7" s="8" t="s">
        <v>159</v>
      </c>
    </row>
    <row r="8" customFormat="false" ht="15" hidden="false" customHeight="false" outlineLevel="0" collapsed="false">
      <c r="A8" s="5" t="s">
        <v>26</v>
      </c>
      <c r="B8" s="28" t="n">
        <v>0.91</v>
      </c>
      <c r="C8" s="28"/>
      <c r="D8" s="7"/>
      <c r="E8" s="29"/>
      <c r="F8" s="29"/>
      <c r="G8" s="8" t="s">
        <v>160</v>
      </c>
    </row>
    <row r="9" customFormat="false" ht="15" hidden="false" customHeight="false" outlineLevel="0" collapsed="false">
      <c r="A9" s="5" t="s">
        <v>161</v>
      </c>
      <c r="B9" s="6" t="n">
        <v>6.26</v>
      </c>
      <c r="C9" s="6"/>
      <c r="D9" s="7"/>
      <c r="E9" s="29"/>
      <c r="F9" s="29"/>
      <c r="G9" s="8" t="s">
        <v>162</v>
      </c>
    </row>
    <row r="10" customFormat="false" ht="15" hidden="false" customHeight="false" outlineLevel="0" collapsed="false">
      <c r="A10" s="5" t="s">
        <v>163</v>
      </c>
      <c r="B10" s="9" t="n">
        <v>42902.42</v>
      </c>
      <c r="C10" s="9"/>
      <c r="D10" s="7"/>
      <c r="E10" s="29"/>
      <c r="F10" s="29"/>
      <c r="G10" s="8" t="s">
        <v>164</v>
      </c>
    </row>
    <row r="11" customFormat="false" ht="15" hidden="false" customHeight="false" outlineLevel="0" collapsed="false">
      <c r="A11" s="5" t="s">
        <v>165</v>
      </c>
      <c r="B11" s="6" t="n">
        <v>22.7</v>
      </c>
      <c r="C11" s="6" t="n">
        <v>10</v>
      </c>
      <c r="D11" s="10" t="n">
        <f aca="false">B11/C11-1</f>
        <v>1.27</v>
      </c>
      <c r="E11" s="29"/>
      <c r="F11" s="29"/>
      <c r="G11" s="8" t="s">
        <v>166</v>
      </c>
    </row>
    <row r="12" customFormat="false" ht="23.85" hidden="false" customHeight="false" outlineLevel="0" collapsed="false">
      <c r="A12" s="5" t="s">
        <v>167</v>
      </c>
      <c r="B12" s="9" t="n">
        <v>1022.31</v>
      </c>
      <c r="C12" s="9" t="n">
        <v>392.25</v>
      </c>
      <c r="D12" s="10" t="n">
        <f aca="false">B12/C12-1</f>
        <v>1.60627151051625</v>
      </c>
      <c r="E12" s="29"/>
      <c r="F12" s="29"/>
      <c r="G12" s="8" t="s">
        <v>168</v>
      </c>
    </row>
    <row r="15" customFormat="false" ht="15" hidden="false" customHeight="false" outlineLevel="0" collapsed="false">
      <c r="A15" s="22" t="s">
        <v>169</v>
      </c>
      <c r="B15" s="23"/>
      <c r="C15" s="23"/>
      <c r="D15" s="23"/>
      <c r="E15" s="23"/>
      <c r="F15" s="23"/>
      <c r="G15" s="23"/>
    </row>
    <row r="16" customFormat="false" ht="30" hidden="false" customHeight="true" outlineLevel="0" collapsed="false">
      <c r="A16" s="4" t="s">
        <v>170</v>
      </c>
      <c r="B16" s="4" t="s">
        <v>171</v>
      </c>
      <c r="C16" s="4" t="s">
        <v>172</v>
      </c>
      <c r="D16" s="4" t="s">
        <v>173</v>
      </c>
      <c r="E16" s="4" t="s">
        <v>21</v>
      </c>
      <c r="F16" s="4" t="s">
        <v>174</v>
      </c>
      <c r="G16" s="4" t="s">
        <v>175</v>
      </c>
    </row>
    <row r="17" customFormat="false" ht="15" hidden="false" customHeight="false" outlineLevel="0" collapsed="false">
      <c r="A17" s="30" t="s">
        <v>176</v>
      </c>
      <c r="B17" s="14" t="s">
        <v>153</v>
      </c>
      <c r="C17" s="31" t="n">
        <v>776016.93</v>
      </c>
      <c r="D17" s="32" t="n">
        <v>10.67</v>
      </c>
      <c r="E17" s="32" t="n">
        <v>1.7</v>
      </c>
      <c r="F17" s="33" t="n">
        <f aca="false">D17/$D$17-1</f>
        <v>0</v>
      </c>
      <c r="G17" s="30" t="s">
        <v>177</v>
      </c>
    </row>
    <row r="18" customFormat="false" ht="15" hidden="false" customHeight="false" outlineLevel="0" collapsed="false">
      <c r="A18" s="8" t="s">
        <v>178</v>
      </c>
      <c r="B18" s="7" t="s">
        <v>179</v>
      </c>
      <c r="C18" s="17" t="n">
        <v>316116.5</v>
      </c>
      <c r="D18" s="28" t="n">
        <v>28.22</v>
      </c>
      <c r="E18" s="28" t="n">
        <v>7.22</v>
      </c>
      <c r="F18" s="10" t="n">
        <f aca="false">D18/$D$17-1</f>
        <v>1.6447985004686</v>
      </c>
      <c r="G18" s="8"/>
    </row>
    <row r="19" customFormat="false" ht="15" hidden="false" customHeight="false" outlineLevel="0" collapsed="false">
      <c r="A19" s="8" t="s">
        <v>180</v>
      </c>
      <c r="B19" s="7" t="s">
        <v>181</v>
      </c>
      <c r="C19" s="17" t="n">
        <v>271077.98</v>
      </c>
      <c r="D19" s="28" t="n">
        <v>8.16</v>
      </c>
      <c r="E19" s="28" t="n">
        <v>1.51</v>
      </c>
      <c r="F19" s="10" t="n">
        <f aca="false">D19/$D$17-1</f>
        <v>-0.235238987816307</v>
      </c>
      <c r="G19" s="8"/>
    </row>
    <row r="20" customFormat="false" ht="15" hidden="false" customHeight="false" outlineLevel="0" collapsed="false">
      <c r="A20" s="8" t="s">
        <v>182</v>
      </c>
      <c r="B20" s="7" t="s">
        <v>183</v>
      </c>
      <c r="C20" s="17" t="n">
        <v>264460</v>
      </c>
      <c r="D20" s="28" t="n">
        <v>33.89</v>
      </c>
      <c r="E20" s="28" t="n">
        <v>0.83</v>
      </c>
      <c r="F20" s="10" t="n">
        <f aca="false">D20/$D$17-1</f>
        <v>2.17619493908154</v>
      </c>
      <c r="G20" s="8"/>
    </row>
    <row r="21" customFormat="false" ht="15" hidden="false" customHeight="false" outlineLevel="0" collapsed="false">
      <c r="A21" s="8" t="s">
        <v>184</v>
      </c>
      <c r="B21" s="7" t="s">
        <v>185</v>
      </c>
      <c r="C21" s="17" t="n">
        <v>214752.53</v>
      </c>
      <c r="D21" s="28" t="n">
        <v>9.76</v>
      </c>
      <c r="E21" s="28" t="n">
        <v>2.35</v>
      </c>
      <c r="F21" s="10" t="n">
        <f aca="false">D21/$D$17-1</f>
        <v>-0.0852858481724461</v>
      </c>
      <c r="G21" s="8"/>
    </row>
    <row r="22" customFormat="false" ht="15" hidden="false" customHeight="false" outlineLevel="0" collapsed="false">
      <c r="A22" s="8" t="s">
        <v>186</v>
      </c>
      <c r="B22" s="7" t="s">
        <v>187</v>
      </c>
      <c r="C22" s="17" t="n">
        <v>157314</v>
      </c>
      <c r="D22" s="28" t="n">
        <v>19.51</v>
      </c>
      <c r="E22" s="28" t="n">
        <v>4.45</v>
      </c>
      <c r="F22" s="10" t="n">
        <f aca="false">D22/$D$17-1</f>
        <v>0.828491096532334</v>
      </c>
      <c r="G22" s="8"/>
    </row>
    <row r="23" customFormat="false" ht="15" hidden="false" customHeight="false" outlineLevel="0" collapsed="false">
      <c r="A23" s="8" t="s">
        <v>188</v>
      </c>
      <c r="B23" s="7" t="s">
        <v>189</v>
      </c>
      <c r="C23" s="17" t="n">
        <v>107052.63</v>
      </c>
      <c r="D23" s="28" t="n">
        <v>10.67</v>
      </c>
      <c r="E23" s="28" t="n">
        <v>0.85</v>
      </c>
      <c r="F23" s="10" t="n">
        <f aca="false">D23/$D$17-1</f>
        <v>0</v>
      </c>
      <c r="G23" s="8"/>
    </row>
    <row r="24" customFormat="false" ht="15" hidden="false" customHeight="false" outlineLevel="0" collapsed="false">
      <c r="A24" s="8" t="s">
        <v>190</v>
      </c>
      <c r="B24" s="7" t="s">
        <v>191</v>
      </c>
      <c r="C24" s="17" t="n">
        <v>105497.93</v>
      </c>
      <c r="D24" s="28" t="n">
        <v>13.64</v>
      </c>
      <c r="E24" s="28" t="n">
        <v>1.39</v>
      </c>
      <c r="F24" s="10" t="n">
        <f aca="false">D24/$D$17-1</f>
        <v>0.278350515463918</v>
      </c>
      <c r="G24" s="8"/>
    </row>
    <row r="25" customFormat="false" ht="15" hidden="false" customHeight="false" outlineLevel="0" collapsed="false">
      <c r="A25" s="8" t="s">
        <v>192</v>
      </c>
      <c r="B25" s="7" t="s">
        <v>193</v>
      </c>
      <c r="C25" s="17" t="n">
        <v>100232.51</v>
      </c>
      <c r="D25" s="28" t="n">
        <v>37.17</v>
      </c>
      <c r="E25" s="28" t="n">
        <v>2.31</v>
      </c>
      <c r="F25" s="10" t="n">
        <f aca="false">D25/$D$17-1</f>
        <v>2.48359887535145</v>
      </c>
      <c r="G25" s="8"/>
    </row>
    <row r="26" customFormat="false" ht="15" hidden="false" customHeight="false" outlineLevel="0" collapsed="false">
      <c r="A26" s="8" t="s">
        <v>194</v>
      </c>
      <c r="B26" s="7" t="s">
        <v>195</v>
      </c>
      <c r="C26" s="17" t="n">
        <v>41569.5</v>
      </c>
      <c r="D26" s="28" t="n">
        <v>6.4</v>
      </c>
      <c r="E26" s="28" t="n">
        <v>1.13</v>
      </c>
      <c r="F26" s="10" t="n">
        <f aca="false">D26/$D$17-1</f>
        <v>-0.400187441424555</v>
      </c>
      <c r="G26" s="8"/>
    </row>
    <row r="27" customFormat="false" ht="15" hidden="false" customHeight="false" outlineLevel="0" collapsed="false">
      <c r="A27" s="8" t="s">
        <v>196</v>
      </c>
      <c r="B27" s="7" t="s">
        <v>197</v>
      </c>
      <c r="C27" s="17" t="n">
        <v>41416.89</v>
      </c>
      <c r="D27" s="28" t="n">
        <v>9.54</v>
      </c>
      <c r="E27" s="28" t="n">
        <v>1.11</v>
      </c>
      <c r="F27" s="10" t="n">
        <f aca="false">D27/$D$17-1</f>
        <v>-0.105904404873477</v>
      </c>
      <c r="G27" s="8"/>
    </row>
    <row r="28" customFormat="false" ht="15" hidden="false" customHeight="false" outlineLevel="0" collapsed="false">
      <c r="A28" s="8" t="s">
        <v>198</v>
      </c>
      <c r="B28" s="7" t="s">
        <v>199</v>
      </c>
      <c r="C28" s="17" t="n">
        <v>34642.03</v>
      </c>
      <c r="D28" s="28" t="n">
        <v>11.68</v>
      </c>
      <c r="E28" s="28" t="n">
        <v>0.47</v>
      </c>
      <c r="F28" s="10" t="n">
        <f aca="false">D28/$D$17-1</f>
        <v>0.0946579194001875</v>
      </c>
      <c r="G28" s="8"/>
    </row>
    <row r="29" customFormat="false" ht="15" hidden="false" customHeight="false" outlineLevel="0" collapsed="false">
      <c r="A29" s="5" t="s">
        <v>200</v>
      </c>
      <c r="C29" s="34" t="n">
        <f aca="false">MEDIAN(C17:C28)</f>
        <v>132183.315</v>
      </c>
      <c r="D29" s="35" t="n">
        <f aca="false">MEDIAN(D17:D28)</f>
        <v>11.175</v>
      </c>
      <c r="E29" s="35" t="n">
        <f aca="false">MEDIAN(E17:E28)</f>
        <v>1.45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56"/>
  </cols>
  <sheetData>
    <row r="1" customFormat="false" ht="21.75" hidden="false" customHeight="true" outlineLevel="0" collapsed="false">
      <c r="A1" s="1" t="s">
        <v>201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202</v>
      </c>
      <c r="B2" s="3"/>
      <c r="C2" s="3"/>
      <c r="D2" s="3"/>
      <c r="E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203</v>
      </c>
      <c r="D4" s="4" t="s">
        <v>204</v>
      </c>
      <c r="E4" s="4" t="s">
        <v>6</v>
      </c>
    </row>
    <row r="5" customFormat="false" ht="15" hidden="false" customHeight="false" outlineLevel="0" collapsed="false">
      <c r="A5" s="5" t="s">
        <v>205</v>
      </c>
      <c r="B5" s="6" t="n">
        <v>392.25</v>
      </c>
      <c r="C5" s="7"/>
      <c r="D5" s="36" t="s">
        <v>206</v>
      </c>
      <c r="E5" s="8" t="s">
        <v>207</v>
      </c>
    </row>
    <row r="6" customFormat="false" ht="15" hidden="false" customHeight="false" outlineLevel="0" collapsed="false">
      <c r="A6" s="5" t="s">
        <v>208</v>
      </c>
      <c r="B6" s="6" t="n">
        <v>385.26</v>
      </c>
      <c r="C6" s="10" t="n">
        <f aca="false">B6/$B$5-1</f>
        <v>-0.0178202676864245</v>
      </c>
      <c r="D6" s="14" t="s">
        <v>34</v>
      </c>
      <c r="E6" s="8" t="s">
        <v>209</v>
      </c>
    </row>
    <row r="7" customFormat="false" ht="15" hidden="false" customHeight="false" outlineLevel="0" collapsed="false">
      <c r="A7" s="5" t="s">
        <v>210</v>
      </c>
      <c r="B7" s="6" t="n">
        <v>372.35</v>
      </c>
      <c r="C7" s="10" t="n">
        <f aca="false">B7/$B$5-1</f>
        <v>-0.0507329509241554</v>
      </c>
      <c r="D7" s="14" t="s">
        <v>34</v>
      </c>
      <c r="E7" s="8" t="s">
        <v>211</v>
      </c>
    </row>
    <row r="8" customFormat="false" ht="15" hidden="false" customHeight="false" outlineLevel="0" collapsed="false">
      <c r="A8" s="5" t="s">
        <v>212</v>
      </c>
      <c r="B8" s="6" t="n">
        <v>365.01</v>
      </c>
      <c r="C8" s="10" t="n">
        <f aca="false">B8/$B$5-1</f>
        <v>-0.0694455066921607</v>
      </c>
      <c r="D8" s="14" t="s">
        <v>34</v>
      </c>
      <c r="E8" s="8" t="s">
        <v>213</v>
      </c>
    </row>
    <row r="9" customFormat="false" ht="15" hidden="false" customHeight="false" outlineLevel="0" collapsed="false">
      <c r="A9" s="5" t="s">
        <v>214</v>
      </c>
      <c r="B9" s="37" t="n">
        <v>67.29</v>
      </c>
      <c r="C9" s="7"/>
      <c r="D9" s="12" t="s">
        <v>215</v>
      </c>
      <c r="E9" s="8" t="s">
        <v>216</v>
      </c>
    </row>
    <row r="10" customFormat="false" ht="15" hidden="false" customHeight="false" outlineLevel="0" collapsed="false">
      <c r="A10" s="5" t="s">
        <v>217</v>
      </c>
      <c r="B10" s="37" t="n">
        <v>20.25</v>
      </c>
      <c r="C10" s="7"/>
      <c r="D10" s="14" t="s">
        <v>34</v>
      </c>
      <c r="E10" s="8" t="s">
        <v>218</v>
      </c>
    </row>
    <row r="11" customFormat="false" ht="15" hidden="false" customHeight="false" outlineLevel="0" collapsed="false">
      <c r="A11" s="5" t="s">
        <v>219</v>
      </c>
      <c r="B11" s="37" t="n">
        <v>0.554</v>
      </c>
      <c r="C11" s="7"/>
      <c r="D11" s="12" t="s">
        <v>220</v>
      </c>
      <c r="E11" s="8" t="s">
        <v>221</v>
      </c>
    </row>
    <row r="12" customFormat="false" ht="15" hidden="false" customHeight="false" outlineLevel="0" collapsed="false">
      <c r="A12" s="5" t="s">
        <v>222</v>
      </c>
      <c r="B12" s="37"/>
      <c r="C12" s="7"/>
      <c r="D12" s="12" t="s">
        <v>223</v>
      </c>
      <c r="E12" s="8" t="s">
        <v>224</v>
      </c>
    </row>
    <row r="14" customFormat="false" ht="15" hidden="false" customHeight="false" outlineLevel="0" collapsed="false">
      <c r="A14" s="22" t="s">
        <v>225</v>
      </c>
      <c r="B14" s="23"/>
      <c r="C14" s="23"/>
      <c r="D14" s="23"/>
      <c r="E14" s="23"/>
    </row>
    <row r="15" customFormat="false" ht="30" hidden="false" customHeight="true" outlineLevel="0" collapsed="false">
      <c r="A15" s="4" t="s">
        <v>226</v>
      </c>
      <c r="B15" s="4" t="s">
        <v>227</v>
      </c>
      <c r="C15" s="4" t="s">
        <v>228</v>
      </c>
      <c r="D15" s="4" t="s">
        <v>229</v>
      </c>
      <c r="E15" s="4" t="s">
        <v>230</v>
      </c>
    </row>
    <row r="16" customFormat="false" ht="15" hidden="false" customHeight="false" outlineLevel="0" collapsed="false">
      <c r="A16" s="5" t="s">
        <v>231</v>
      </c>
      <c r="B16" s="6" t="n">
        <v>430.58</v>
      </c>
      <c r="C16" s="10" t="n">
        <f aca="false">B16/$B$5-1</f>
        <v>0.0977182919056723</v>
      </c>
      <c r="D16" s="38" t="s">
        <v>232</v>
      </c>
      <c r="E16" s="8" t="s">
        <v>233</v>
      </c>
    </row>
    <row r="17" customFormat="false" ht="15" hidden="false" customHeight="false" outlineLevel="0" collapsed="false">
      <c r="A17" s="5" t="s">
        <v>234</v>
      </c>
      <c r="B17" s="6" t="n">
        <v>423.92</v>
      </c>
      <c r="C17" s="10" t="n">
        <f aca="false">B17/$B$5-1</f>
        <v>0.0807393244104526</v>
      </c>
      <c r="D17" s="38" t="s">
        <v>232</v>
      </c>
      <c r="E17" s="8" t="s">
        <v>235</v>
      </c>
    </row>
    <row r="18" customFormat="false" ht="15" hidden="false" customHeight="false" outlineLevel="0" collapsed="false">
      <c r="A18" s="5" t="s">
        <v>236</v>
      </c>
      <c r="B18" s="6" t="n">
        <v>417.25</v>
      </c>
      <c r="C18" s="10" t="n">
        <f aca="false">B18/$B$5-1</f>
        <v>0.0637348629700447</v>
      </c>
      <c r="D18" s="38" t="s">
        <v>232</v>
      </c>
      <c r="E18" s="8" t="s">
        <v>237</v>
      </c>
    </row>
    <row r="19" customFormat="false" ht="15" hidden="false" customHeight="false" outlineLevel="0" collapsed="false">
      <c r="A19" s="5" t="s">
        <v>238</v>
      </c>
      <c r="B19" s="6" t="n">
        <v>413.33</v>
      </c>
      <c r="C19" s="10" t="n">
        <f aca="false">B19/$B$5-1</f>
        <v>0.0537412364563417</v>
      </c>
      <c r="D19" s="38" t="s">
        <v>232</v>
      </c>
      <c r="E19" s="8" t="s">
        <v>239</v>
      </c>
    </row>
    <row r="20" customFormat="false" ht="15" hidden="false" customHeight="false" outlineLevel="0" collapsed="false">
      <c r="A20" s="5" t="s">
        <v>240</v>
      </c>
      <c r="B20" s="6" t="n">
        <v>406.67</v>
      </c>
      <c r="C20" s="10" t="n">
        <f aca="false">B20/$B$5-1</f>
        <v>0.0367622689611218</v>
      </c>
      <c r="D20" s="38" t="s">
        <v>232</v>
      </c>
      <c r="E20" s="8" t="s">
        <v>241</v>
      </c>
    </row>
    <row r="21" customFormat="false" ht="15" hidden="false" customHeight="false" outlineLevel="0" collapsed="false">
      <c r="A21" s="5" t="s">
        <v>242</v>
      </c>
      <c r="B21" s="6" t="n">
        <v>396.08</v>
      </c>
      <c r="C21" s="10" t="n">
        <f aca="false">B21/$B$5-1</f>
        <v>0.00976418100701082</v>
      </c>
      <c r="D21" s="39" t="s">
        <v>243</v>
      </c>
      <c r="E21" s="8" t="s">
        <v>244</v>
      </c>
    </row>
    <row r="22" customFormat="false" ht="15" hidden="false" customHeight="false" outlineLevel="0" collapsed="false">
      <c r="A22" s="5" t="s">
        <v>245</v>
      </c>
      <c r="B22" s="6" t="n">
        <v>389.42</v>
      </c>
      <c r="C22" s="10" t="n">
        <f aca="false">B22/$B$5-1</f>
        <v>-0.00721478648820906</v>
      </c>
      <c r="D22" s="39" t="s">
        <v>243</v>
      </c>
      <c r="E22" s="8" t="s">
        <v>246</v>
      </c>
    </row>
    <row r="23" customFormat="false" ht="15" hidden="false" customHeight="false" outlineLevel="0" collapsed="false">
      <c r="A23" s="5" t="s">
        <v>247</v>
      </c>
      <c r="B23" s="6" t="n">
        <v>384.5</v>
      </c>
      <c r="C23" s="10" t="n">
        <f aca="false">B23/$B$5-1</f>
        <v>-0.0197578075207139</v>
      </c>
      <c r="D23" s="39" t="s">
        <v>243</v>
      </c>
      <c r="E23" s="8" t="s">
        <v>248</v>
      </c>
    </row>
    <row r="24" customFormat="false" ht="15" hidden="false" customHeight="false" outlineLevel="0" collapsed="false">
      <c r="A24" s="5" t="s">
        <v>249</v>
      </c>
      <c r="B24" s="6" t="n">
        <v>378.83</v>
      </c>
      <c r="C24" s="10" t="n">
        <f aca="false">B24/$B$5-1</f>
        <v>-0.03421287444232</v>
      </c>
      <c r="D24" s="39" t="s">
        <v>243</v>
      </c>
      <c r="E24" s="8" t="s">
        <v>250</v>
      </c>
    </row>
    <row r="25" customFormat="false" ht="15" hidden="false" customHeight="false" outlineLevel="0" collapsed="false">
      <c r="A25" s="5" t="s">
        <v>210</v>
      </c>
      <c r="B25" s="6" t="n">
        <v>372.35</v>
      </c>
      <c r="C25" s="10" t="n">
        <f aca="false">B25/$B$5-1</f>
        <v>-0.0507329509241554</v>
      </c>
      <c r="D25" s="39" t="s">
        <v>243</v>
      </c>
      <c r="E25" s="8" t="s">
        <v>251</v>
      </c>
    </row>
    <row r="26" customFormat="false" ht="15" hidden="false" customHeight="false" outlineLevel="0" collapsed="false">
      <c r="A26" s="5" t="s">
        <v>212</v>
      </c>
      <c r="B26" s="6" t="n">
        <v>365.01</v>
      </c>
      <c r="C26" s="10" t="n">
        <f aca="false">B26/$B$5-1</f>
        <v>-0.0694455066921607</v>
      </c>
      <c r="D26" s="39" t="s">
        <v>243</v>
      </c>
      <c r="E26" s="8" t="s">
        <v>252</v>
      </c>
    </row>
    <row r="28" customFormat="false" ht="15" hidden="false" customHeight="false" outlineLevel="0" collapsed="false">
      <c r="A28" s="22" t="s">
        <v>253</v>
      </c>
      <c r="B28" s="23"/>
      <c r="C28" s="23"/>
      <c r="D28" s="23"/>
      <c r="E28" s="23"/>
    </row>
    <row r="29" customFormat="false" ht="30" hidden="false" customHeight="true" outlineLevel="0" collapsed="false">
      <c r="A29" s="4" t="s">
        <v>254</v>
      </c>
      <c r="B29" s="4" t="s">
        <v>255</v>
      </c>
      <c r="C29" s="4" t="s">
        <v>256</v>
      </c>
      <c r="D29" s="4" t="s">
        <v>257</v>
      </c>
      <c r="E29" s="4" t="s">
        <v>175</v>
      </c>
    </row>
    <row r="30" customFormat="false" ht="15" hidden="false" customHeight="false" outlineLevel="0" collapsed="false">
      <c r="A30" s="5" t="s">
        <v>258</v>
      </c>
      <c r="B30" s="10" t="n">
        <v>1.0976</v>
      </c>
      <c r="C30" s="10" t="n">
        <v>0.8682</v>
      </c>
      <c r="D30" s="6" t="n">
        <v>187</v>
      </c>
      <c r="E30" s="8" t="s">
        <v>259</v>
      </c>
    </row>
    <row r="31" customFormat="false" ht="15" hidden="false" customHeight="false" outlineLevel="0" collapsed="false">
      <c r="A31" s="5" t="s">
        <v>260</v>
      </c>
      <c r="B31" s="10" t="n">
        <v>0.7435</v>
      </c>
      <c r="C31" s="10" t="n">
        <v>0.5528</v>
      </c>
      <c r="D31" s="6" t="n">
        <v>60.75</v>
      </c>
      <c r="E31" s="8" t="s">
        <v>261</v>
      </c>
    </row>
    <row r="32" customFormat="false" ht="15" hidden="false" customHeight="false" outlineLevel="0" collapsed="false">
      <c r="A32" s="5" t="s">
        <v>262</v>
      </c>
      <c r="B32" s="10" t="n">
        <v>0.1381</v>
      </c>
      <c r="C32" s="10" t="n">
        <v>0.0136</v>
      </c>
      <c r="D32" s="6" t="n">
        <v>5985.7</v>
      </c>
      <c r="E32" s="8"/>
    </row>
    <row r="33" customFormat="false" ht="15" hidden="false" customHeight="false" outlineLevel="0" collapsed="false">
      <c r="A33" s="5" t="s">
        <v>263</v>
      </c>
      <c r="B33" s="10" t="n">
        <v>0.1228</v>
      </c>
      <c r="C33" s="10" t="n">
        <v>0</v>
      </c>
      <c r="D33" s="6" t="n">
        <v>43.03</v>
      </c>
      <c r="E33" s="8" t="s">
        <v>264</v>
      </c>
    </row>
    <row r="34" customFormat="false" ht="15" hidden="false" customHeight="false" outlineLevel="0" collapsed="false">
      <c r="A34" s="5" t="s">
        <v>265</v>
      </c>
      <c r="B34" s="10" t="n">
        <v>0.7242</v>
      </c>
      <c r="C34" s="10"/>
      <c r="D34" s="6" t="n">
        <v>227.5</v>
      </c>
      <c r="E34" s="8" t="s">
        <v>266</v>
      </c>
    </row>
    <row r="35" customFormat="false" ht="15" hidden="false" customHeight="false" outlineLevel="0" collapsed="false">
      <c r="A35" s="5" t="s">
        <v>267</v>
      </c>
      <c r="B35" s="10" t="n">
        <v>1.2493</v>
      </c>
      <c r="C35" s="10"/>
      <c r="D35" s="6" t="n">
        <v>174</v>
      </c>
      <c r="E35" s="8" t="s">
        <v>268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8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1" t="s">
        <v>269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270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22" t="s">
        <v>271</v>
      </c>
      <c r="B4" s="23"/>
      <c r="C4" s="23"/>
      <c r="D4" s="23"/>
      <c r="E4" s="23"/>
      <c r="F4" s="23"/>
      <c r="G4" s="23"/>
    </row>
    <row r="5" customFormat="false" ht="15" hidden="false" customHeight="true" outlineLevel="0" collapsed="false">
      <c r="A5" s="5" t="s">
        <v>272</v>
      </c>
      <c r="B5" s="40" t="n">
        <v>1926.796</v>
      </c>
      <c r="C5" s="41" t="s">
        <v>273</v>
      </c>
      <c r="D5" s="41"/>
      <c r="E5" s="41"/>
      <c r="F5" s="41"/>
      <c r="G5" s="41"/>
    </row>
    <row r="6" customFormat="false" ht="15" hidden="false" customHeight="true" outlineLevel="0" collapsed="false">
      <c r="A6" s="5" t="s">
        <v>274</v>
      </c>
      <c r="B6" s="42" t="n">
        <v>392.25</v>
      </c>
      <c r="C6" s="41" t="s">
        <v>275</v>
      </c>
      <c r="D6" s="41"/>
      <c r="E6" s="41"/>
      <c r="F6" s="41"/>
      <c r="G6" s="41"/>
    </row>
    <row r="7" customFormat="false" ht="15" hidden="false" customHeight="true" outlineLevel="0" collapsed="false">
      <c r="A7" s="5" t="s">
        <v>276</v>
      </c>
      <c r="B7" s="42" t="n">
        <v>48.2913</v>
      </c>
      <c r="C7" s="41" t="s">
        <v>277</v>
      </c>
      <c r="D7" s="41"/>
      <c r="E7" s="41"/>
      <c r="F7" s="41"/>
      <c r="G7" s="41"/>
    </row>
    <row r="8" customFormat="false" ht="15" hidden="false" customHeight="true" outlineLevel="0" collapsed="false">
      <c r="A8" s="5" t="s">
        <v>278</v>
      </c>
      <c r="B8" s="40" t="n">
        <v>127700</v>
      </c>
      <c r="C8" s="41" t="s">
        <v>279</v>
      </c>
      <c r="D8" s="41"/>
      <c r="E8" s="41"/>
      <c r="F8" s="41"/>
      <c r="G8" s="41"/>
    </row>
    <row r="10" customFormat="false" ht="15" hidden="false" customHeight="false" outlineLevel="0" collapsed="false">
      <c r="A10" s="5" t="s">
        <v>280</v>
      </c>
      <c r="B10" s="9" t="n">
        <f aca="false">B5*B6</f>
        <v>755785.731</v>
      </c>
      <c r="C10" s="8" t="s">
        <v>11</v>
      </c>
    </row>
    <row r="11" customFormat="false" ht="15" hidden="false" customHeight="false" outlineLevel="0" collapsed="false">
      <c r="A11" s="5" t="s">
        <v>281</v>
      </c>
      <c r="B11" s="9" t="n">
        <f aca="false">B10-B8</f>
        <v>628085.731</v>
      </c>
      <c r="C11" s="8" t="s">
        <v>11</v>
      </c>
    </row>
    <row r="13" customFormat="false" ht="15" hidden="false" customHeight="false" outlineLevel="0" collapsed="false">
      <c r="A13" s="22" t="s">
        <v>282</v>
      </c>
      <c r="B13" s="23"/>
      <c r="C13" s="23"/>
      <c r="D13" s="23"/>
      <c r="E13" s="23"/>
      <c r="F13" s="23"/>
      <c r="G13" s="23"/>
    </row>
    <row r="14" customFormat="false" ht="30" hidden="false" customHeight="true" outlineLevel="0" collapsed="false">
      <c r="A14" s="4" t="s">
        <v>283</v>
      </c>
      <c r="B14" s="4" t="s">
        <v>284</v>
      </c>
      <c r="C14" s="4" t="s">
        <v>285</v>
      </c>
      <c r="D14" s="4" t="s">
        <v>286</v>
      </c>
      <c r="E14" s="4" t="s">
        <v>287</v>
      </c>
      <c r="F14" s="4"/>
      <c r="G14" s="4"/>
    </row>
    <row r="15" customFormat="false" ht="15" hidden="false" customHeight="true" outlineLevel="0" collapsed="false">
      <c r="A15" s="5" t="s">
        <v>288</v>
      </c>
      <c r="B15" s="43" t="n">
        <v>14</v>
      </c>
      <c r="C15" s="40" t="n">
        <v>3400</v>
      </c>
      <c r="D15" s="9" t="n">
        <f aca="false">C15*$B$7</f>
        <v>164190.42</v>
      </c>
      <c r="E15" s="41" t="s">
        <v>289</v>
      </c>
      <c r="F15" s="41"/>
      <c r="G15" s="41"/>
    </row>
    <row r="16" customFormat="false" ht="15" hidden="false" customHeight="true" outlineLevel="0" collapsed="false">
      <c r="A16" s="5" t="s">
        <v>290</v>
      </c>
      <c r="B16" s="43" t="n">
        <v>13</v>
      </c>
      <c r="C16" s="40" t="n">
        <v>3100</v>
      </c>
      <c r="D16" s="9" t="n">
        <f aca="false">C16*$B$7</f>
        <v>149703.03</v>
      </c>
      <c r="E16" s="41" t="s">
        <v>291</v>
      </c>
      <c r="F16" s="41"/>
      <c r="G16" s="41"/>
    </row>
    <row r="17" customFormat="false" ht="15" hidden="false" customHeight="true" outlineLevel="0" collapsed="false">
      <c r="A17" s="5" t="s">
        <v>292</v>
      </c>
      <c r="B17" s="43" t="n">
        <v>9</v>
      </c>
      <c r="C17" s="40" t="n">
        <v>2200</v>
      </c>
      <c r="D17" s="9" t="n">
        <f aca="false">C17*$B$7</f>
        <v>106240.86</v>
      </c>
      <c r="E17" s="41" t="s">
        <v>293</v>
      </c>
      <c r="F17" s="41"/>
      <c r="G17" s="41"/>
    </row>
    <row r="18" customFormat="false" ht="15" hidden="false" customHeight="true" outlineLevel="0" collapsed="false">
      <c r="A18" s="5" t="s">
        <v>294</v>
      </c>
      <c r="B18" s="43" t="n">
        <v>7</v>
      </c>
      <c r="C18" s="40" t="n">
        <v>2000</v>
      </c>
      <c r="D18" s="9" t="n">
        <f aca="false">C18*$B$7</f>
        <v>96582.6</v>
      </c>
      <c r="E18" s="41" t="s">
        <v>295</v>
      </c>
      <c r="F18" s="41"/>
      <c r="G18" s="41"/>
    </row>
    <row r="19" customFormat="false" ht="15" hidden="false" customHeight="true" outlineLevel="0" collapsed="false">
      <c r="A19" s="5" t="s">
        <v>296</v>
      </c>
      <c r="B19" s="43" t="n">
        <v>5</v>
      </c>
      <c r="C19" s="40" t="n">
        <v>1500</v>
      </c>
      <c r="D19" s="9" t="n">
        <f aca="false">C19*$B$7</f>
        <v>72436.95</v>
      </c>
      <c r="E19" s="41" t="s">
        <v>297</v>
      </c>
      <c r="F19" s="41"/>
      <c r="G19" s="41"/>
    </row>
    <row r="21" customFormat="false" ht="15" hidden="false" customHeight="false" outlineLevel="0" collapsed="false">
      <c r="A21" s="22" t="s">
        <v>298</v>
      </c>
      <c r="B21" s="23"/>
      <c r="C21" s="23"/>
      <c r="D21" s="23"/>
      <c r="E21" s="23"/>
      <c r="F21" s="23"/>
      <c r="G21" s="23"/>
    </row>
    <row r="22" customFormat="false" ht="30" hidden="false" customHeight="true" outlineLevel="0" collapsed="false">
      <c r="A22" s="4" t="s">
        <v>283</v>
      </c>
      <c r="B22" s="4" t="s">
        <v>299</v>
      </c>
      <c r="C22" s="4" t="s">
        <v>300</v>
      </c>
      <c r="D22" s="4" t="s">
        <v>301</v>
      </c>
      <c r="E22" s="4" t="s">
        <v>302</v>
      </c>
      <c r="F22" s="4" t="s">
        <v>303</v>
      </c>
      <c r="G22" s="4" t="s">
        <v>304</v>
      </c>
    </row>
    <row r="23" customFormat="false" ht="15" hidden="false" customHeight="false" outlineLevel="0" collapsed="false">
      <c r="A23" s="5" t="s">
        <v>288</v>
      </c>
      <c r="B23" s="6" t="n">
        <f aca="false">(D15*4+$B$8)/$B$5</f>
        <v>407.132711506563</v>
      </c>
      <c r="C23" s="6" t="n">
        <f aca="false">(D15*5+$B$8)/$B$5</f>
        <v>492.346932420453</v>
      </c>
      <c r="D23" s="6" t="n">
        <f aca="false">(D15*5.6+$B$8)/$B$5</f>
        <v>543.475464968788</v>
      </c>
      <c r="E23" s="6" t="n">
        <f aca="false">(D15*6.5+$B$8)/$B$5</f>
        <v>620.168263791289</v>
      </c>
      <c r="F23" s="33" t="n">
        <f aca="false">D23/$B$6-1</f>
        <v>0.385533371494678</v>
      </c>
      <c r="G23" s="39" t="s">
        <v>305</v>
      </c>
    </row>
    <row r="24" customFormat="false" ht="15" hidden="false" customHeight="false" outlineLevel="0" collapsed="false">
      <c r="A24" s="5" t="s">
        <v>290</v>
      </c>
      <c r="B24" s="6" t="n">
        <f aca="false">(D16*4+$B$8)/$B$5</f>
        <v>377.05710412519</v>
      </c>
      <c r="C24" s="6" t="n">
        <f aca="false">(D16*5+$B$8)/$B$5</f>
        <v>454.752423193737</v>
      </c>
      <c r="D24" s="6" t="n">
        <f aca="false">(D16*5.6+$B$8)/$B$5</f>
        <v>501.369614634865</v>
      </c>
      <c r="E24" s="6" t="n">
        <f aca="false">(D16*6.5+$B$8)/$B$5</f>
        <v>571.295401796558</v>
      </c>
      <c r="F24" s="33" t="n">
        <f aca="false">D24/$B$6-1</f>
        <v>0.278188947443889</v>
      </c>
      <c r="G24" s="39" t="s">
        <v>306</v>
      </c>
    </row>
    <row r="25" customFormat="false" ht="15" hidden="false" customHeight="false" outlineLevel="0" collapsed="false">
      <c r="A25" s="5" t="s">
        <v>292</v>
      </c>
      <c r="B25" s="6" t="n">
        <f aca="false">(D17*4+$B$8)/$B$5</f>
        <v>286.830281981071</v>
      </c>
      <c r="C25" s="6" t="n">
        <f aca="false">(D17*5+$B$8)/$B$5</f>
        <v>341.968895513588</v>
      </c>
      <c r="D25" s="6" t="n">
        <f aca="false">(D17*5.6+$B$8)/$B$5</f>
        <v>375.052063633099</v>
      </c>
      <c r="E25" s="6" t="n">
        <f aca="false">(D17*6.5+$B$8)/$B$5</f>
        <v>424.676815812364</v>
      </c>
      <c r="F25" s="44" t="n">
        <f aca="false">D25/$B$6-1</f>
        <v>-0.0438443247084801</v>
      </c>
      <c r="G25" s="45" t="s">
        <v>307</v>
      </c>
    </row>
    <row r="26" customFormat="false" ht="15" hidden="false" customHeight="false" outlineLevel="0" collapsed="false">
      <c r="A26" s="5" t="s">
        <v>294</v>
      </c>
      <c r="B26" s="6" t="n">
        <f aca="false">(D18*4+$B$8)/$B$5</f>
        <v>266.779877060156</v>
      </c>
      <c r="C26" s="6" t="n">
        <f aca="false">(D18*5+$B$8)/$B$5</f>
        <v>316.905889362444</v>
      </c>
      <c r="D26" s="6" t="n">
        <f aca="false">(D18*5.6+$B$8)/$B$5</f>
        <v>346.981496743817</v>
      </c>
      <c r="E26" s="6" t="n">
        <f aca="false">(D18*6.5+$B$8)/$B$5</f>
        <v>392.094907815877</v>
      </c>
      <c r="F26" s="46" t="n">
        <f aca="false">D26/$B$6-1</f>
        <v>-0.115407274075673</v>
      </c>
      <c r="G26" s="38" t="s">
        <v>308</v>
      </c>
    </row>
    <row r="27" customFormat="false" ht="15" hidden="false" customHeight="false" outlineLevel="0" collapsed="false">
      <c r="A27" s="5" t="s">
        <v>296</v>
      </c>
      <c r="B27" s="6" t="n">
        <f aca="false">(D19*4+$B$8)/$B$5</f>
        <v>216.653864757867</v>
      </c>
      <c r="C27" s="6" t="n">
        <f aca="false">(D19*5+$B$8)/$B$5</f>
        <v>254.248373984584</v>
      </c>
      <c r="D27" s="6" t="n">
        <f aca="false">(D19*5.6+$B$8)/$B$5</f>
        <v>276.805079520613</v>
      </c>
      <c r="E27" s="6" t="n">
        <f aca="false">(D19*6.5+$B$8)/$B$5</f>
        <v>310.640137824658</v>
      </c>
      <c r="F27" s="46" t="n">
        <f aca="false">D27/$B$6-1</f>
        <v>-0.294314647493656</v>
      </c>
      <c r="G27" s="38" t="s">
        <v>309</v>
      </c>
    </row>
    <row r="29" customFormat="false" ht="15" hidden="false" customHeight="true" outlineLevel="0" collapsed="false">
      <c r="A29" s="5" t="s">
        <v>310</v>
      </c>
      <c r="B29" s="5"/>
      <c r="C29" s="5"/>
      <c r="D29" s="5"/>
      <c r="E29" s="5"/>
      <c r="F29" s="47" t="n">
        <f aca="false">0.2*C23+0.3*C24+0.25*C25+0.2*C26+0.05*C27</f>
        <v>396.480933892327</v>
      </c>
      <c r="G29" s="7" t="s">
        <v>311</v>
      </c>
    </row>
    <row r="30" customFormat="false" ht="15" hidden="false" customHeight="true" outlineLevel="0" collapsed="false">
      <c r="A30" s="5" t="s">
        <v>312</v>
      </c>
      <c r="B30" s="5"/>
      <c r="C30" s="5"/>
      <c r="D30" s="5"/>
      <c r="E30" s="5"/>
      <c r="F30" s="48" t="n">
        <f aca="false">F29/B6-1</f>
        <v>0.010786319674511</v>
      </c>
    </row>
    <row r="32" customFormat="false" ht="30" hidden="false" customHeight="true" outlineLevel="0" collapsed="false">
      <c r="A32" s="26" t="s">
        <v>313</v>
      </c>
      <c r="B32" s="26"/>
      <c r="C32" s="26"/>
      <c r="D32" s="26"/>
      <c r="E32" s="26"/>
      <c r="F32" s="26"/>
      <c r="G32" s="26"/>
    </row>
  </sheetData>
  <mergeCells count="13">
    <mergeCell ref="A2:G2"/>
    <mergeCell ref="C5:G5"/>
    <mergeCell ref="C6:G6"/>
    <mergeCell ref="C7:G7"/>
    <mergeCell ref="C8:G8"/>
    <mergeCell ref="E15:G15"/>
    <mergeCell ref="E16:G16"/>
    <mergeCell ref="E17:G17"/>
    <mergeCell ref="E18:G18"/>
    <mergeCell ref="E19:G19"/>
    <mergeCell ref="A29:E29"/>
    <mergeCell ref="A30:E30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74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1" t="s">
        <v>314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315</v>
      </c>
      <c r="B2" s="3"/>
      <c r="C2" s="3"/>
      <c r="D2" s="3"/>
      <c r="E2" s="3"/>
    </row>
    <row r="4" customFormat="false" ht="30" hidden="false" customHeight="true" outlineLevel="0" collapsed="false">
      <c r="A4" s="4" t="s">
        <v>316</v>
      </c>
      <c r="B4" s="4" t="s">
        <v>317</v>
      </c>
      <c r="C4" s="4" t="s">
        <v>318</v>
      </c>
      <c r="D4" s="4" t="s">
        <v>319</v>
      </c>
      <c r="E4" s="4" t="s">
        <v>320</v>
      </c>
    </row>
    <row r="5" customFormat="false" ht="73.5" hidden="false" customHeight="true" outlineLevel="0" collapsed="false">
      <c r="A5" s="36" t="s">
        <v>321</v>
      </c>
      <c r="B5" s="5" t="s">
        <v>322</v>
      </c>
      <c r="C5" s="8" t="s">
        <v>323</v>
      </c>
      <c r="D5" s="15" t="s">
        <v>324</v>
      </c>
      <c r="E5" s="7" t="s">
        <v>325</v>
      </c>
    </row>
    <row r="6" customFormat="false" ht="73.5" hidden="false" customHeight="true" outlineLevel="0" collapsed="false">
      <c r="A6" s="36" t="s">
        <v>326</v>
      </c>
      <c r="B6" s="5" t="s">
        <v>327</v>
      </c>
      <c r="C6" s="8" t="s">
        <v>328</v>
      </c>
      <c r="D6" s="12" t="s">
        <v>329</v>
      </c>
      <c r="E6" s="7" t="s">
        <v>330</v>
      </c>
    </row>
    <row r="7" customFormat="false" ht="73.5" hidden="false" customHeight="true" outlineLevel="0" collapsed="false">
      <c r="A7" s="36" t="s">
        <v>331</v>
      </c>
      <c r="B7" s="5" t="s">
        <v>332</v>
      </c>
      <c r="C7" s="8" t="s">
        <v>333</v>
      </c>
      <c r="D7" s="12" t="s">
        <v>329</v>
      </c>
      <c r="E7" s="7" t="s">
        <v>206</v>
      </c>
    </row>
    <row r="8" customFormat="false" ht="73.5" hidden="false" customHeight="true" outlineLevel="0" collapsed="false">
      <c r="A8" s="36" t="s">
        <v>334</v>
      </c>
      <c r="B8" s="5" t="s">
        <v>335</v>
      </c>
      <c r="C8" s="8" t="s">
        <v>336</v>
      </c>
      <c r="D8" s="14" t="s">
        <v>337</v>
      </c>
      <c r="E8" s="7" t="s">
        <v>330</v>
      </c>
    </row>
    <row r="9" customFormat="false" ht="73.5" hidden="false" customHeight="true" outlineLevel="0" collapsed="false">
      <c r="A9" s="36" t="s">
        <v>334</v>
      </c>
      <c r="B9" s="5" t="s">
        <v>338</v>
      </c>
      <c r="C9" s="8" t="s">
        <v>339</v>
      </c>
      <c r="D9" s="14" t="s">
        <v>337</v>
      </c>
      <c r="E9" s="7" t="s">
        <v>330</v>
      </c>
    </row>
    <row r="10" customFormat="false" ht="73.5" hidden="false" customHeight="true" outlineLevel="0" collapsed="false">
      <c r="A10" s="36" t="s">
        <v>340</v>
      </c>
      <c r="B10" s="5" t="s">
        <v>341</v>
      </c>
      <c r="C10" s="8" t="s">
        <v>342</v>
      </c>
      <c r="D10" s="14" t="s">
        <v>343</v>
      </c>
      <c r="E10" s="7" t="s">
        <v>330</v>
      </c>
    </row>
    <row r="11" customFormat="false" ht="73.5" hidden="false" customHeight="true" outlineLevel="0" collapsed="false">
      <c r="A11" s="36" t="s">
        <v>344</v>
      </c>
      <c r="B11" s="5" t="s">
        <v>345</v>
      </c>
      <c r="C11" s="8" t="s">
        <v>346</v>
      </c>
      <c r="D11" s="14" t="s">
        <v>347</v>
      </c>
      <c r="E11" s="7" t="s">
        <v>348</v>
      </c>
    </row>
    <row r="12" customFormat="false" ht="73.5" hidden="false" customHeight="true" outlineLevel="0" collapsed="false">
      <c r="A12" s="36" t="s">
        <v>349</v>
      </c>
      <c r="B12" s="5" t="s">
        <v>350</v>
      </c>
      <c r="C12" s="8" t="s">
        <v>351</v>
      </c>
      <c r="D12" s="14" t="s">
        <v>352</v>
      </c>
      <c r="E12" s="7" t="s">
        <v>325</v>
      </c>
    </row>
    <row r="13" customFormat="false" ht="73.5" hidden="false" customHeight="true" outlineLevel="0" collapsed="false">
      <c r="A13" s="36" t="s">
        <v>353</v>
      </c>
      <c r="B13" s="5" t="s">
        <v>354</v>
      </c>
      <c r="C13" s="8" t="s">
        <v>355</v>
      </c>
      <c r="D13" s="14" t="s">
        <v>343</v>
      </c>
      <c r="E13" s="7" t="s">
        <v>356</v>
      </c>
    </row>
    <row r="14" customFormat="false" ht="73.5" hidden="false" customHeight="true" outlineLevel="0" collapsed="false">
      <c r="A14" s="36" t="s">
        <v>357</v>
      </c>
      <c r="B14" s="5" t="s">
        <v>358</v>
      </c>
      <c r="C14" s="8" t="s">
        <v>359</v>
      </c>
      <c r="D14" s="12" t="s">
        <v>360</v>
      </c>
      <c r="E14" s="7" t="s">
        <v>325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0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1" t="s">
        <v>361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362</v>
      </c>
      <c r="B2" s="3"/>
      <c r="C2" s="3"/>
      <c r="D2" s="3"/>
      <c r="E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363</v>
      </c>
      <c r="D4" s="4" t="s">
        <v>364</v>
      </c>
      <c r="E4" s="4" t="s">
        <v>175</v>
      </c>
    </row>
    <row r="5" customFormat="false" ht="15" hidden="false" customHeight="false" outlineLevel="0" collapsed="false">
      <c r="A5" s="5" t="s">
        <v>365</v>
      </c>
      <c r="B5" s="49" t="n">
        <v>0</v>
      </c>
      <c r="C5" s="6"/>
      <c r="D5" s="7"/>
      <c r="E5" s="8" t="s">
        <v>366</v>
      </c>
    </row>
    <row r="6" customFormat="false" ht="15" hidden="false" customHeight="false" outlineLevel="0" collapsed="false">
      <c r="A6" s="5" t="s">
        <v>34</v>
      </c>
      <c r="B6" s="49" t="n">
        <v>20</v>
      </c>
      <c r="C6" s="6"/>
      <c r="D6" s="7"/>
      <c r="E6" s="8" t="s">
        <v>367</v>
      </c>
    </row>
    <row r="7" customFormat="false" ht="15" hidden="false" customHeight="false" outlineLevel="0" collapsed="false">
      <c r="A7" s="5" t="s">
        <v>368</v>
      </c>
      <c r="B7" s="49" t="n">
        <v>7</v>
      </c>
      <c r="C7" s="6"/>
      <c r="D7" s="7"/>
      <c r="E7" s="8"/>
    </row>
    <row r="8" customFormat="false" ht="15" hidden="false" customHeight="false" outlineLevel="0" collapsed="false">
      <c r="A8" s="5" t="s">
        <v>369</v>
      </c>
      <c r="B8" s="49" t="n">
        <v>0</v>
      </c>
      <c r="C8" s="6"/>
      <c r="D8" s="7"/>
      <c r="E8" s="8" t="s">
        <v>370</v>
      </c>
    </row>
    <row r="9" customFormat="false" ht="15" hidden="false" customHeight="false" outlineLevel="0" collapsed="false">
      <c r="A9" s="5" t="s">
        <v>371</v>
      </c>
      <c r="B9" s="6" t="n">
        <v>396.98</v>
      </c>
      <c r="C9" s="6" t="n">
        <v>392.25</v>
      </c>
      <c r="D9" s="10" t="n">
        <f aca="false">B9/C9-1</f>
        <v>0.0120586360739325</v>
      </c>
      <c r="E9" s="8" t="s">
        <v>372</v>
      </c>
    </row>
    <row r="10" customFormat="false" ht="15" hidden="false" customHeight="false" outlineLevel="0" collapsed="false">
      <c r="A10" s="5" t="s">
        <v>373</v>
      </c>
      <c r="B10" s="6" t="n">
        <v>278</v>
      </c>
      <c r="C10" s="6" t="n">
        <v>392.25</v>
      </c>
      <c r="D10" s="10" t="n">
        <f aca="false">B10/C10-1</f>
        <v>-0.291268323773104</v>
      </c>
      <c r="E10" s="8" t="s">
        <v>374</v>
      </c>
    </row>
    <row r="11" customFormat="false" ht="15" hidden="false" customHeight="false" outlineLevel="0" collapsed="false">
      <c r="A11" s="5" t="s">
        <v>375</v>
      </c>
      <c r="B11" s="6" t="n">
        <v>510</v>
      </c>
      <c r="C11" s="6" t="n">
        <v>392.25</v>
      </c>
      <c r="D11" s="10" t="n">
        <f aca="false">B11/C11-1</f>
        <v>0.30019120458891</v>
      </c>
      <c r="E11" s="8" t="s">
        <v>376</v>
      </c>
    </row>
    <row r="12" customFormat="false" ht="15" hidden="false" customHeight="false" outlineLevel="0" collapsed="false">
      <c r="A12" s="5" t="s">
        <v>377</v>
      </c>
      <c r="B12" s="6" t="n">
        <v>405.44</v>
      </c>
      <c r="C12" s="6" t="n">
        <v>392.25</v>
      </c>
      <c r="D12" s="10" t="n">
        <f aca="false">B12/C12-1</f>
        <v>0.0336265137029956</v>
      </c>
      <c r="E12" s="8" t="s">
        <v>378</v>
      </c>
    </row>
    <row r="13" customFormat="false" ht="15" hidden="false" customHeight="false" outlineLevel="0" collapsed="false">
      <c r="A13" s="5" t="s">
        <v>379</v>
      </c>
      <c r="B13" s="6" t="n">
        <v>346</v>
      </c>
      <c r="C13" s="6" t="n">
        <v>392.25</v>
      </c>
      <c r="D13" s="10" t="n">
        <f aca="false">B13/C13-1</f>
        <v>-0.117909496494582</v>
      </c>
      <c r="E13" s="8"/>
    </row>
    <row r="14" customFormat="false" ht="15" hidden="false" customHeight="false" outlineLevel="0" collapsed="false">
      <c r="A14" s="5" t="s">
        <v>380</v>
      </c>
      <c r="B14" s="6" t="n">
        <v>470.9</v>
      </c>
      <c r="C14" s="6" t="n">
        <v>392.25</v>
      </c>
      <c r="D14" s="10" t="n">
        <f aca="false">B14/C14-1</f>
        <v>0.20050987890376</v>
      </c>
      <c r="E14" s="8"/>
    </row>
    <row r="16" customFormat="false" ht="15" hidden="false" customHeight="false" outlineLevel="0" collapsed="false">
      <c r="A16" s="22" t="s">
        <v>381</v>
      </c>
      <c r="B16" s="23"/>
      <c r="C16" s="23"/>
      <c r="D16" s="23"/>
      <c r="E16" s="23"/>
    </row>
    <row r="17" customFormat="false" ht="30" hidden="false" customHeight="true" outlineLevel="0" collapsed="false">
      <c r="A17" s="4" t="s">
        <v>382</v>
      </c>
      <c r="B17" s="4" t="s">
        <v>383</v>
      </c>
      <c r="C17" s="4" t="s">
        <v>384</v>
      </c>
      <c r="D17" s="4" t="s">
        <v>385</v>
      </c>
      <c r="E17" s="4" t="s">
        <v>175</v>
      </c>
    </row>
    <row r="18" customFormat="false" ht="15" hidden="false" customHeight="false" outlineLevel="0" collapsed="false">
      <c r="A18" s="5" t="s">
        <v>386</v>
      </c>
      <c r="B18" s="6" t="n">
        <v>19.4928</v>
      </c>
      <c r="C18" s="6" t="n">
        <v>36.0441</v>
      </c>
      <c r="D18" s="50" t="n">
        <f aca="false">C18/B18-1</f>
        <v>0.849098128539769</v>
      </c>
      <c r="E18" s="8" t="s">
        <v>387</v>
      </c>
    </row>
    <row r="19" customFormat="false" ht="15" hidden="false" customHeight="false" outlineLevel="0" collapsed="false">
      <c r="A19" s="5" t="s">
        <v>388</v>
      </c>
      <c r="B19" s="6"/>
      <c r="C19" s="6" t="n">
        <v>36.0441</v>
      </c>
      <c r="D19" s="7"/>
      <c r="E19" s="8" t="s">
        <v>389</v>
      </c>
    </row>
    <row r="20" customFormat="false" ht="15" hidden="false" customHeight="false" outlineLevel="0" collapsed="false">
      <c r="A20" s="5" t="s">
        <v>390</v>
      </c>
      <c r="B20" s="6" t="n">
        <v>19.4928</v>
      </c>
      <c r="C20" s="6"/>
      <c r="D20" s="7"/>
      <c r="E20" s="8" t="s">
        <v>391</v>
      </c>
    </row>
    <row r="22" customFormat="false" ht="15" hidden="false" customHeight="false" outlineLevel="0" collapsed="false">
      <c r="A22" s="22" t="s">
        <v>392</v>
      </c>
      <c r="B22" s="23"/>
      <c r="C22" s="23"/>
      <c r="D22" s="23"/>
      <c r="E22" s="23"/>
    </row>
    <row r="23" customFormat="false" ht="30" hidden="false" customHeight="true" outlineLevel="0" collapsed="false">
      <c r="A23" s="4" t="s">
        <v>65</v>
      </c>
      <c r="B23" s="4" t="s">
        <v>393</v>
      </c>
      <c r="C23" s="4" t="s">
        <v>394</v>
      </c>
      <c r="D23" s="4" t="s">
        <v>395</v>
      </c>
      <c r="E23" s="4" t="s">
        <v>175</v>
      </c>
    </row>
    <row r="24" customFormat="false" ht="15" hidden="false" customHeight="false" outlineLevel="0" collapsed="false">
      <c r="A24" s="5" t="s">
        <v>396</v>
      </c>
      <c r="B24" s="7" t="s">
        <v>397</v>
      </c>
      <c r="C24" s="7" t="s">
        <v>398</v>
      </c>
      <c r="D24" s="14" t="s">
        <v>399</v>
      </c>
      <c r="E24" s="8" t="s">
        <v>400</v>
      </c>
    </row>
    <row r="25" customFormat="false" ht="15" hidden="false" customHeight="false" outlineLevel="0" collapsed="false">
      <c r="A25" s="5" t="s">
        <v>401</v>
      </c>
      <c r="B25" s="7" t="s">
        <v>402</v>
      </c>
      <c r="C25" s="7" t="s">
        <v>402</v>
      </c>
      <c r="D25" s="36" t="s">
        <v>403</v>
      </c>
      <c r="E25" s="8"/>
    </row>
    <row r="26" customFormat="false" ht="15" hidden="false" customHeight="false" outlineLevel="0" collapsed="false">
      <c r="A26" s="5" t="s">
        <v>404</v>
      </c>
      <c r="B26" s="7" t="s">
        <v>405</v>
      </c>
      <c r="C26" s="7" t="s">
        <v>405</v>
      </c>
      <c r="D26" s="36" t="s">
        <v>403</v>
      </c>
      <c r="E26" s="8"/>
    </row>
    <row r="27" customFormat="false" ht="15" hidden="false" customHeight="false" outlineLevel="0" collapsed="false">
      <c r="A27" s="5" t="s">
        <v>406</v>
      </c>
      <c r="B27" s="7" t="s">
        <v>407</v>
      </c>
      <c r="C27" s="7" t="s">
        <v>407</v>
      </c>
      <c r="D27" s="36" t="s">
        <v>403</v>
      </c>
      <c r="E27" s="8"/>
    </row>
    <row r="28" customFormat="false" ht="15" hidden="false" customHeight="false" outlineLevel="0" collapsed="false">
      <c r="A28" s="5" t="s">
        <v>408</v>
      </c>
      <c r="B28" s="7" t="s">
        <v>409</v>
      </c>
      <c r="C28" s="7" t="s">
        <v>409</v>
      </c>
      <c r="D28" s="36" t="s">
        <v>403</v>
      </c>
      <c r="E28" s="8" t="s">
        <v>410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2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21.75" hidden="false" customHeight="true" outlineLevel="0" collapsed="false">
      <c r="A1" s="1" t="s">
        <v>411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412</v>
      </c>
      <c r="B2" s="3"/>
      <c r="C2" s="3"/>
      <c r="D2" s="3"/>
      <c r="E2" s="3"/>
      <c r="F2" s="3"/>
      <c r="G2" s="3"/>
      <c r="H2" s="3"/>
    </row>
    <row r="4" customFormat="false" ht="23.85" hidden="false" customHeight="false" outlineLevel="0" collapsed="false">
      <c r="A4" s="22" t="s">
        <v>413</v>
      </c>
      <c r="B4" s="23"/>
      <c r="C4" s="23"/>
      <c r="D4" s="23"/>
      <c r="E4" s="23"/>
      <c r="F4" s="23"/>
      <c r="G4" s="23"/>
      <c r="H4" s="23"/>
    </row>
    <row r="5" customFormat="false" ht="30" hidden="false" customHeight="true" outlineLevel="0" collapsed="false">
      <c r="A5" s="4" t="s">
        <v>316</v>
      </c>
      <c r="B5" s="4" t="s">
        <v>414</v>
      </c>
      <c r="C5" s="4" t="s">
        <v>415</v>
      </c>
      <c r="D5" s="4" t="s">
        <v>416</v>
      </c>
      <c r="E5" s="4" t="s">
        <v>205</v>
      </c>
      <c r="F5" s="4" t="s">
        <v>417</v>
      </c>
      <c r="G5" s="4" t="s">
        <v>418</v>
      </c>
      <c r="H5" s="4" t="s">
        <v>419</v>
      </c>
    </row>
    <row r="6" customFormat="false" ht="15" hidden="false" customHeight="false" outlineLevel="0" collapsed="false">
      <c r="A6" s="7" t="s">
        <v>420</v>
      </c>
      <c r="B6" s="25" t="n">
        <v>293</v>
      </c>
      <c r="C6" s="25" t="n">
        <v>295.75</v>
      </c>
      <c r="D6" s="25" t="n">
        <v>286.5</v>
      </c>
      <c r="E6" s="25" t="n">
        <v>290.5</v>
      </c>
      <c r="F6" s="51" t="n">
        <v>21759393</v>
      </c>
      <c r="G6" s="52"/>
      <c r="H6" s="18" t="n">
        <f aca="false">C6/D6-1</f>
        <v>0.0322862129144852</v>
      </c>
    </row>
    <row r="7" customFormat="false" ht="15" hidden="false" customHeight="false" outlineLevel="0" collapsed="false">
      <c r="A7" s="7" t="s">
        <v>421</v>
      </c>
      <c r="B7" s="25" t="n">
        <v>293.25</v>
      </c>
      <c r="C7" s="25" t="n">
        <v>295.5</v>
      </c>
      <c r="D7" s="25" t="n">
        <v>283</v>
      </c>
      <c r="E7" s="25" t="n">
        <v>290.25</v>
      </c>
      <c r="F7" s="51" t="n">
        <v>30714332</v>
      </c>
      <c r="G7" s="18" t="n">
        <f aca="false">E7/E6-1</f>
        <v>-0.000860585197934638</v>
      </c>
      <c r="H7" s="18" t="n">
        <f aca="false">C7/D7-1</f>
        <v>0.0441696113074206</v>
      </c>
    </row>
    <row r="8" customFormat="false" ht="15" hidden="false" customHeight="false" outlineLevel="0" collapsed="false">
      <c r="A8" s="7" t="s">
        <v>422</v>
      </c>
      <c r="B8" s="25" t="n">
        <v>299</v>
      </c>
      <c r="C8" s="25" t="n">
        <v>310.5</v>
      </c>
      <c r="D8" s="25" t="n">
        <v>295.5</v>
      </c>
      <c r="E8" s="25" t="n">
        <v>303.75</v>
      </c>
      <c r="F8" s="51" t="n">
        <v>54128289</v>
      </c>
      <c r="G8" s="18" t="n">
        <f aca="false">E8/E7-1</f>
        <v>0.0465116279069768</v>
      </c>
      <c r="H8" s="18" t="n">
        <f aca="false">C8/D8-1</f>
        <v>0.0507614213197969</v>
      </c>
    </row>
    <row r="9" customFormat="false" ht="15" hidden="false" customHeight="false" outlineLevel="0" collapsed="false">
      <c r="A9" s="7" t="s">
        <v>423</v>
      </c>
      <c r="B9" s="25" t="n">
        <v>304.25</v>
      </c>
      <c r="C9" s="25" t="n">
        <v>323.5</v>
      </c>
      <c r="D9" s="25" t="n">
        <v>303.5</v>
      </c>
      <c r="E9" s="25" t="n">
        <v>321.5</v>
      </c>
      <c r="F9" s="51" t="n">
        <v>42412282</v>
      </c>
      <c r="G9" s="18" t="n">
        <f aca="false">E9/E8-1</f>
        <v>0.0584362139917696</v>
      </c>
      <c r="H9" s="18" t="n">
        <f aca="false">C9/D9-1</f>
        <v>0.0658978583196046</v>
      </c>
    </row>
    <row r="10" customFormat="false" ht="15" hidden="false" customHeight="false" outlineLevel="0" collapsed="false">
      <c r="A10" s="7" t="s">
        <v>424</v>
      </c>
      <c r="B10" s="25" t="n">
        <v>322.75</v>
      </c>
      <c r="C10" s="25" t="n">
        <v>332</v>
      </c>
      <c r="D10" s="25" t="n">
        <v>318.25</v>
      </c>
      <c r="E10" s="25" t="n">
        <v>323.5</v>
      </c>
      <c r="F10" s="51" t="n">
        <v>36486193</v>
      </c>
      <c r="G10" s="18" t="n">
        <f aca="false">E10/E9-1</f>
        <v>0.00622083981337473</v>
      </c>
      <c r="H10" s="18" t="n">
        <f aca="false">C10/D10-1</f>
        <v>0.0432050274941085</v>
      </c>
    </row>
    <row r="11" customFormat="false" ht="15" hidden="false" customHeight="false" outlineLevel="0" collapsed="false">
      <c r="A11" s="7" t="s">
        <v>425</v>
      </c>
      <c r="B11" s="25" t="n">
        <v>325</v>
      </c>
      <c r="C11" s="25" t="n">
        <v>342.5</v>
      </c>
      <c r="D11" s="25" t="n">
        <v>323.75</v>
      </c>
      <c r="E11" s="25" t="n">
        <v>340</v>
      </c>
      <c r="F11" s="51" t="n">
        <v>38603793</v>
      </c>
      <c r="G11" s="18" t="n">
        <f aca="false">E11/E10-1</f>
        <v>0.0510046367851622</v>
      </c>
      <c r="H11" s="18" t="n">
        <f aca="false">C11/D11-1</f>
        <v>0.057915057915058</v>
      </c>
    </row>
    <row r="12" customFormat="false" ht="15" hidden="false" customHeight="false" outlineLevel="0" collapsed="false">
      <c r="A12" s="7" t="s">
        <v>426</v>
      </c>
      <c r="B12" s="25" t="n">
        <v>342.75</v>
      </c>
      <c r="C12" s="25" t="n">
        <v>344.75</v>
      </c>
      <c r="D12" s="25" t="n">
        <v>329.75</v>
      </c>
      <c r="E12" s="25" t="n">
        <v>336.5</v>
      </c>
      <c r="F12" s="51" t="n">
        <v>39267266</v>
      </c>
      <c r="G12" s="18" t="n">
        <f aca="false">E12/E11-1</f>
        <v>-0.0102941176470588</v>
      </c>
      <c r="H12" s="18" t="n">
        <f aca="false">C12/D12-1</f>
        <v>0.0454890068233511</v>
      </c>
    </row>
    <row r="13" customFormat="false" ht="15" hidden="false" customHeight="false" outlineLevel="0" collapsed="false">
      <c r="A13" s="7" t="s">
        <v>427</v>
      </c>
      <c r="B13" s="25" t="n">
        <v>337.5</v>
      </c>
      <c r="C13" s="25" t="n">
        <v>353.5</v>
      </c>
      <c r="D13" s="25" t="n">
        <v>337.5</v>
      </c>
      <c r="E13" s="25" t="n">
        <v>351.25</v>
      </c>
      <c r="F13" s="51" t="n">
        <v>35147541</v>
      </c>
      <c r="G13" s="18" t="n">
        <f aca="false">E13/E12-1</f>
        <v>0.0438335809806836</v>
      </c>
      <c r="H13" s="18" t="n">
        <f aca="false">C13/D13-1</f>
        <v>0.0474074074074073</v>
      </c>
    </row>
    <row r="14" customFormat="false" ht="15" hidden="false" customHeight="false" outlineLevel="0" collapsed="false">
      <c r="A14" s="7" t="s">
        <v>428</v>
      </c>
      <c r="B14" s="25" t="n">
        <v>351.5</v>
      </c>
      <c r="C14" s="25" t="n">
        <v>357</v>
      </c>
      <c r="D14" s="25" t="n">
        <v>343.25</v>
      </c>
      <c r="E14" s="25" t="n">
        <v>346</v>
      </c>
      <c r="F14" s="51" t="n">
        <v>22784976</v>
      </c>
      <c r="G14" s="18" t="n">
        <f aca="false">E14/E13-1</f>
        <v>-0.0149466192170818</v>
      </c>
      <c r="H14" s="18" t="n">
        <f aca="false">C14/D14-1</f>
        <v>0.0400582665695557</v>
      </c>
    </row>
    <row r="15" customFormat="false" ht="15" hidden="false" customHeight="false" outlineLevel="0" collapsed="false">
      <c r="A15" s="7" t="s">
        <v>429</v>
      </c>
      <c r="B15" s="25" t="n">
        <v>350</v>
      </c>
      <c r="C15" s="25" t="n">
        <v>364.5</v>
      </c>
      <c r="D15" s="25" t="n">
        <v>345.75</v>
      </c>
      <c r="E15" s="25" t="n">
        <v>361.75</v>
      </c>
      <c r="F15" s="51" t="n">
        <v>34621634</v>
      </c>
      <c r="G15" s="18" t="n">
        <f aca="false">E15/E14-1</f>
        <v>0.0455202312138729</v>
      </c>
      <c r="H15" s="18" t="n">
        <f aca="false">C15/D15-1</f>
        <v>0.054229934924078</v>
      </c>
    </row>
    <row r="16" customFormat="false" ht="15" hidden="false" customHeight="false" outlineLevel="0" collapsed="false">
      <c r="A16" s="7" t="s">
        <v>430</v>
      </c>
      <c r="B16" s="25" t="n">
        <v>362.5</v>
      </c>
      <c r="C16" s="25" t="n">
        <v>373.5</v>
      </c>
      <c r="D16" s="25" t="n">
        <v>361</v>
      </c>
      <c r="E16" s="25" t="n">
        <v>368.75</v>
      </c>
      <c r="F16" s="51" t="n">
        <v>25997605</v>
      </c>
      <c r="G16" s="18" t="n">
        <f aca="false">E16/E15-1</f>
        <v>0.0193503800967518</v>
      </c>
      <c r="H16" s="18" t="n">
        <f aca="false">C16/D16-1</f>
        <v>0.0346260387811634</v>
      </c>
    </row>
    <row r="17" customFormat="false" ht="15" hidden="false" customHeight="false" outlineLevel="0" collapsed="false">
      <c r="A17" s="7" t="s">
        <v>431</v>
      </c>
      <c r="B17" s="25" t="n">
        <v>372</v>
      </c>
      <c r="C17" s="25" t="n">
        <v>374.5</v>
      </c>
      <c r="D17" s="25" t="n">
        <v>364.25</v>
      </c>
      <c r="E17" s="25" t="n">
        <v>374</v>
      </c>
      <c r="F17" s="51" t="n">
        <v>26573759</v>
      </c>
      <c r="G17" s="18" t="n">
        <f aca="false">E17/E16-1</f>
        <v>0.0142372881355932</v>
      </c>
      <c r="H17" s="18" t="n">
        <f aca="false">C17/D17-1</f>
        <v>0.0281400137268359</v>
      </c>
    </row>
    <row r="18" customFormat="false" ht="15" hidden="false" customHeight="false" outlineLevel="0" collapsed="false">
      <c r="A18" s="7" t="s">
        <v>432</v>
      </c>
      <c r="B18" s="25" t="n">
        <v>374.25</v>
      </c>
      <c r="C18" s="25" t="n">
        <v>398.25</v>
      </c>
      <c r="D18" s="25" t="n">
        <v>373</v>
      </c>
      <c r="E18" s="25" t="n">
        <v>395.5</v>
      </c>
      <c r="F18" s="51" t="n">
        <v>40012823</v>
      </c>
      <c r="G18" s="18" t="n">
        <f aca="false">E18/E17-1</f>
        <v>0.0574866310160427</v>
      </c>
      <c r="H18" s="18" t="n">
        <f aca="false">C18/D18-1</f>
        <v>0.0676943699731905</v>
      </c>
    </row>
    <row r="19" customFormat="false" ht="15" hidden="false" customHeight="false" outlineLevel="0" collapsed="false">
      <c r="A19" s="7" t="s">
        <v>433</v>
      </c>
      <c r="B19" s="25" t="n">
        <v>398</v>
      </c>
      <c r="C19" s="25" t="n">
        <v>402.75</v>
      </c>
      <c r="D19" s="25" t="n">
        <v>390.75</v>
      </c>
      <c r="E19" s="25" t="n">
        <v>395.25</v>
      </c>
      <c r="F19" s="51" t="n">
        <v>29319183</v>
      </c>
      <c r="G19" s="18" t="n">
        <f aca="false">E19/E18-1</f>
        <v>-0.000632111251580247</v>
      </c>
      <c r="H19" s="18" t="n">
        <f aca="false">C19/D19-1</f>
        <v>0.0307101727447217</v>
      </c>
    </row>
    <row r="20" customFormat="false" ht="15" hidden="false" customHeight="false" outlineLevel="0" collapsed="false">
      <c r="A20" s="7" t="s">
        <v>434</v>
      </c>
      <c r="B20" s="25" t="n">
        <v>396</v>
      </c>
      <c r="C20" s="25" t="n">
        <v>406.75</v>
      </c>
      <c r="D20" s="25" t="n">
        <v>391</v>
      </c>
      <c r="E20" s="25" t="n">
        <v>406.75</v>
      </c>
      <c r="F20" s="51" t="n">
        <v>25718838</v>
      </c>
      <c r="G20" s="18" t="n">
        <f aca="false">E20/E19-1</f>
        <v>0.0290955091714105</v>
      </c>
      <c r="H20" s="18" t="n">
        <f aca="false">C20/D20-1</f>
        <v>0.0402813299232736</v>
      </c>
    </row>
    <row r="21" customFormat="false" ht="15" hidden="false" customHeight="false" outlineLevel="0" collapsed="false">
      <c r="A21" s="7" t="s">
        <v>435</v>
      </c>
      <c r="B21" s="25" t="n">
        <v>407</v>
      </c>
      <c r="C21" s="25" t="n">
        <v>407.5</v>
      </c>
      <c r="D21" s="25" t="n">
        <v>399.25</v>
      </c>
      <c r="E21" s="25" t="n">
        <v>400.5</v>
      </c>
      <c r="F21" s="51" t="n">
        <v>22238012</v>
      </c>
      <c r="G21" s="18" t="n">
        <f aca="false">E21/E20-1</f>
        <v>-0.0153657037492317</v>
      </c>
      <c r="H21" s="18" t="n">
        <f aca="false">C21/D21-1</f>
        <v>0.0206637445209767</v>
      </c>
    </row>
    <row r="22" customFormat="false" ht="15" hidden="false" customHeight="false" outlineLevel="0" collapsed="false">
      <c r="A22" s="7" t="s">
        <v>436</v>
      </c>
      <c r="B22" s="25" t="n">
        <v>398.5</v>
      </c>
      <c r="C22" s="25" t="n">
        <v>402</v>
      </c>
      <c r="D22" s="25" t="n">
        <v>373.75</v>
      </c>
      <c r="E22" s="25" t="n">
        <v>373.75</v>
      </c>
      <c r="F22" s="51" t="n">
        <v>44737737</v>
      </c>
      <c r="G22" s="18" t="n">
        <f aca="false">E22/E21-1</f>
        <v>-0.0667915106117354</v>
      </c>
      <c r="H22" s="18" t="n">
        <f aca="false">C22/D22-1</f>
        <v>0.0755852842809364</v>
      </c>
    </row>
    <row r="23" customFormat="false" ht="15" hidden="false" customHeight="false" outlineLevel="0" collapsed="false">
      <c r="A23" s="7" t="s">
        <v>437</v>
      </c>
      <c r="B23" s="25" t="n">
        <v>369.75</v>
      </c>
      <c r="C23" s="25" t="n">
        <v>382.75</v>
      </c>
      <c r="D23" s="25" t="n">
        <v>366.5</v>
      </c>
      <c r="E23" s="25" t="n">
        <v>380</v>
      </c>
      <c r="F23" s="51" t="n">
        <v>34726936</v>
      </c>
      <c r="G23" s="18" t="n">
        <f aca="false">E23/E22-1</f>
        <v>0.0167224080267558</v>
      </c>
      <c r="H23" s="18" t="n">
        <f aca="false">C23/D23-1</f>
        <v>0.0443383356070941</v>
      </c>
    </row>
    <row r="24" customFormat="false" ht="15" hidden="false" customHeight="false" outlineLevel="0" collapsed="false">
      <c r="A24" s="7" t="s">
        <v>438</v>
      </c>
      <c r="B24" s="25" t="n">
        <v>380</v>
      </c>
      <c r="C24" s="25" t="n">
        <v>386.75</v>
      </c>
      <c r="D24" s="25" t="n">
        <v>378.75</v>
      </c>
      <c r="E24" s="25" t="n">
        <v>380.75</v>
      </c>
      <c r="F24" s="51" t="n">
        <v>21093852</v>
      </c>
      <c r="G24" s="18" t="n">
        <f aca="false">E24/E23-1</f>
        <v>0.00197368421052624</v>
      </c>
      <c r="H24" s="18" t="n">
        <f aca="false">C24/D24-1</f>
        <v>0.0211221122112211</v>
      </c>
    </row>
    <row r="25" customFormat="false" ht="15" hidden="false" customHeight="false" outlineLevel="0" collapsed="false">
      <c r="A25" s="7" t="s">
        <v>439</v>
      </c>
      <c r="B25" s="25" t="n">
        <v>382</v>
      </c>
      <c r="C25" s="25" t="n">
        <v>396</v>
      </c>
      <c r="D25" s="25" t="n">
        <v>380.75</v>
      </c>
      <c r="E25" s="25" t="n">
        <v>396</v>
      </c>
      <c r="F25" s="51" t="n">
        <v>28201225</v>
      </c>
      <c r="G25" s="18" t="n">
        <f aca="false">E25/E24-1</f>
        <v>0.0400525279054498</v>
      </c>
      <c r="H25" s="18" t="n">
        <f aca="false">C25/D25-1</f>
        <v>0.0400525279054498</v>
      </c>
    </row>
    <row r="26" customFormat="false" ht="15" hidden="false" customHeight="false" outlineLevel="0" collapsed="false">
      <c r="A26" s="7" t="s">
        <v>440</v>
      </c>
      <c r="B26" s="25" t="n">
        <v>406</v>
      </c>
      <c r="C26" s="25" t="n">
        <v>406.25</v>
      </c>
      <c r="D26" s="25" t="n">
        <v>397.25</v>
      </c>
      <c r="E26" s="25" t="n">
        <v>400.25</v>
      </c>
      <c r="F26" s="51" t="n">
        <v>35328555</v>
      </c>
      <c r="G26" s="18" t="n">
        <f aca="false">E26/E25-1</f>
        <v>0.0107323232323233</v>
      </c>
      <c r="H26" s="18" t="n">
        <f aca="false">C26/D26-1</f>
        <v>0.0226557583385778</v>
      </c>
    </row>
    <row r="27" customFormat="false" ht="15" hidden="false" customHeight="false" outlineLevel="0" collapsed="false">
      <c r="A27" s="7" t="s">
        <v>441</v>
      </c>
      <c r="B27" s="25" t="n">
        <v>404</v>
      </c>
      <c r="C27" s="25" t="n">
        <v>417.25</v>
      </c>
      <c r="D27" s="25" t="n">
        <v>400</v>
      </c>
      <c r="E27" s="25" t="n">
        <v>402.75</v>
      </c>
      <c r="F27" s="51" t="n">
        <v>29832344</v>
      </c>
      <c r="G27" s="18" t="n">
        <f aca="false">E27/E26-1</f>
        <v>0.00624609618988137</v>
      </c>
      <c r="H27" s="18" t="n">
        <f aca="false">C27/D27-1</f>
        <v>0.0431250000000001</v>
      </c>
    </row>
    <row r="28" customFormat="false" ht="15" hidden="false" customHeight="false" outlineLevel="0" collapsed="false">
      <c r="A28" s="7" t="s">
        <v>442</v>
      </c>
      <c r="B28" s="25" t="n">
        <v>402.75</v>
      </c>
      <c r="C28" s="25" t="n">
        <v>403</v>
      </c>
      <c r="D28" s="25" t="n">
        <v>390.5</v>
      </c>
      <c r="E28" s="25" t="n">
        <v>392.25</v>
      </c>
      <c r="F28" s="51" t="n">
        <v>34117361</v>
      </c>
      <c r="G28" s="18" t="n">
        <f aca="false">E28/E27-1</f>
        <v>-0.0260707635009311</v>
      </c>
      <c r="H28" s="18" t="n">
        <f aca="false">C28/D28-1</f>
        <v>0.0320102432778489</v>
      </c>
    </row>
    <row r="29" customFormat="false" ht="22.35" hidden="false" customHeight="false" outlineLevel="0" collapsed="false">
      <c r="A29" s="5" t="s">
        <v>382</v>
      </c>
      <c r="B29" s="53" t="s">
        <v>443</v>
      </c>
      <c r="C29" s="54" t="n">
        <f aca="false">MAX(C6:C28)</f>
        <v>417.25</v>
      </c>
      <c r="D29" s="54" t="n">
        <f aca="false">MIN(D6:D28)</f>
        <v>283</v>
      </c>
      <c r="E29" s="55" t="n">
        <f aca="false">E28/E6-1</f>
        <v>0.35025817555938</v>
      </c>
      <c r="F29" s="56" t="n">
        <f aca="false">AVERAGE(F6:F28)</f>
        <v>32774953.4347826</v>
      </c>
    </row>
    <row r="31" customFormat="false" ht="23.85" hidden="false" customHeight="false" outlineLevel="0" collapsed="false">
      <c r="A31" s="22" t="s">
        <v>444</v>
      </c>
      <c r="B31" s="23"/>
      <c r="C31" s="23"/>
      <c r="D31" s="23"/>
      <c r="E31" s="23"/>
      <c r="F31" s="23"/>
      <c r="G31" s="23"/>
      <c r="H31" s="23"/>
    </row>
    <row r="32" customFormat="false" ht="30" hidden="false" customHeight="true" outlineLevel="0" collapsed="false">
      <c r="A32" s="4" t="s">
        <v>445</v>
      </c>
      <c r="B32" s="4" t="s">
        <v>414</v>
      </c>
      <c r="C32" s="4" t="s">
        <v>415</v>
      </c>
      <c r="D32" s="4" t="s">
        <v>416</v>
      </c>
      <c r="E32" s="4" t="s">
        <v>205</v>
      </c>
      <c r="F32" s="4" t="s">
        <v>417</v>
      </c>
      <c r="G32" s="4" t="s">
        <v>446</v>
      </c>
      <c r="H32" s="4"/>
    </row>
    <row r="33" customFormat="false" ht="15" hidden="false" customHeight="false" outlineLevel="0" collapsed="false">
      <c r="A33" s="7" t="s">
        <v>447</v>
      </c>
      <c r="B33" s="25" t="n">
        <v>174</v>
      </c>
      <c r="C33" s="25" t="n">
        <v>201.7</v>
      </c>
      <c r="D33" s="25" t="n">
        <v>163.3</v>
      </c>
      <c r="E33" s="25" t="n">
        <v>186.5</v>
      </c>
      <c r="F33" s="51" t="n">
        <v>467982477</v>
      </c>
      <c r="G33" s="52"/>
    </row>
    <row r="34" customFormat="false" ht="15" hidden="false" customHeight="false" outlineLevel="0" collapsed="false">
      <c r="A34" s="7" t="s">
        <v>448</v>
      </c>
      <c r="B34" s="25" t="n">
        <v>186.2</v>
      </c>
      <c r="C34" s="25" t="n">
        <v>199.3</v>
      </c>
      <c r="D34" s="25" t="n">
        <v>170.8</v>
      </c>
      <c r="E34" s="25" t="n">
        <v>197.6</v>
      </c>
      <c r="F34" s="51" t="n">
        <v>393189757</v>
      </c>
      <c r="G34" s="18" t="n">
        <f aca="false">E34/E33-1</f>
        <v>0.0595174262734584</v>
      </c>
    </row>
    <row r="35" customFormat="false" ht="15" hidden="false" customHeight="false" outlineLevel="0" collapsed="false">
      <c r="A35" s="7" t="s">
        <v>449</v>
      </c>
      <c r="B35" s="25" t="n">
        <v>197.6</v>
      </c>
      <c r="C35" s="25" t="n">
        <v>209.3</v>
      </c>
      <c r="D35" s="25" t="n">
        <v>186.9</v>
      </c>
      <c r="E35" s="25" t="n">
        <v>194.8</v>
      </c>
      <c r="F35" s="51" t="n">
        <v>421025768</v>
      </c>
      <c r="G35" s="18" t="n">
        <f aca="false">E35/E34-1</f>
        <v>-0.0141700404858299</v>
      </c>
    </row>
    <row r="36" customFormat="false" ht="15" hidden="false" customHeight="false" outlineLevel="0" collapsed="false">
      <c r="A36" s="7" t="s">
        <v>450</v>
      </c>
      <c r="B36" s="25" t="n">
        <v>195</v>
      </c>
      <c r="C36" s="25" t="n">
        <v>201.7</v>
      </c>
      <c r="D36" s="25" t="n">
        <v>182.4</v>
      </c>
      <c r="E36" s="25" t="n">
        <v>184.4</v>
      </c>
      <c r="F36" s="51" t="n">
        <v>385588325</v>
      </c>
      <c r="G36" s="18" t="n">
        <f aca="false">E36/E35-1</f>
        <v>-0.053388090349076</v>
      </c>
    </row>
    <row r="37" customFormat="false" ht="15" hidden="false" customHeight="false" outlineLevel="0" collapsed="false">
      <c r="A37" s="7" t="s">
        <v>451</v>
      </c>
      <c r="B37" s="25" t="n">
        <v>184.5</v>
      </c>
      <c r="C37" s="25" t="n">
        <v>248.4</v>
      </c>
      <c r="D37" s="25" t="n">
        <v>184.4</v>
      </c>
      <c r="E37" s="25" t="n">
        <v>244.8</v>
      </c>
      <c r="F37" s="51" t="n">
        <v>484863425</v>
      </c>
      <c r="G37" s="18" t="n">
        <f aca="false">E37/E36-1</f>
        <v>0.327548806941432</v>
      </c>
    </row>
    <row r="38" customFormat="false" ht="15" hidden="false" customHeight="false" outlineLevel="0" collapsed="false">
      <c r="A38" s="7" t="s">
        <v>452</v>
      </c>
      <c r="B38" s="25" t="n">
        <v>239.9</v>
      </c>
      <c r="C38" s="25" t="n">
        <v>239.9</v>
      </c>
      <c r="D38" s="25" t="n">
        <v>212.5</v>
      </c>
      <c r="E38" s="25" t="n">
        <v>218.5</v>
      </c>
      <c r="F38" s="51" t="n">
        <v>591290887</v>
      </c>
      <c r="G38" s="18" t="n">
        <f aca="false">E38/E37-1</f>
        <v>-0.107434640522876</v>
      </c>
    </row>
    <row r="39" customFormat="false" ht="15" hidden="false" customHeight="false" outlineLevel="0" collapsed="false">
      <c r="A39" s="7" t="s">
        <v>453</v>
      </c>
      <c r="B39" s="25" t="n">
        <v>218.5</v>
      </c>
      <c r="C39" s="25" t="n">
        <v>277.25</v>
      </c>
      <c r="D39" s="25" t="n">
        <v>218.5</v>
      </c>
      <c r="E39" s="25" t="n">
        <v>258.25</v>
      </c>
      <c r="F39" s="51" t="n">
        <v>963583060</v>
      </c>
      <c r="G39" s="18" t="n">
        <f aca="false">E39/E38-1</f>
        <v>0.181922196796339</v>
      </c>
    </row>
    <row r="40" customFormat="false" ht="15" hidden="false" customHeight="false" outlineLevel="0" collapsed="false">
      <c r="A40" s="7" t="s">
        <v>454</v>
      </c>
      <c r="B40" s="25" t="n">
        <v>253.25</v>
      </c>
      <c r="C40" s="25" t="n">
        <v>279.5</v>
      </c>
      <c r="D40" s="25" t="n">
        <v>240.2</v>
      </c>
      <c r="E40" s="25" t="n">
        <v>271</v>
      </c>
      <c r="F40" s="51" t="n">
        <v>757445037</v>
      </c>
      <c r="G40" s="18" t="n">
        <f aca="false">E40/E39-1</f>
        <v>0.0493707647628268</v>
      </c>
    </row>
    <row r="41" customFormat="false" ht="15" hidden="false" customHeight="false" outlineLevel="0" collapsed="false">
      <c r="A41" s="7" t="s">
        <v>455</v>
      </c>
      <c r="B41" s="25" t="n">
        <v>270.75</v>
      </c>
      <c r="C41" s="25" t="n">
        <v>274.75</v>
      </c>
      <c r="D41" s="25" t="n">
        <v>232.2</v>
      </c>
      <c r="E41" s="25" t="n">
        <v>236.2</v>
      </c>
      <c r="F41" s="51" t="n">
        <v>353575981</v>
      </c>
      <c r="G41" s="18" t="n">
        <f aca="false">E41/E40-1</f>
        <v>-0.128413284132841</v>
      </c>
    </row>
    <row r="42" customFormat="false" ht="15" hidden="false" customHeight="false" outlineLevel="0" collapsed="false">
      <c r="A42" s="7" t="s">
        <v>456</v>
      </c>
      <c r="B42" s="25" t="n">
        <v>236.2</v>
      </c>
      <c r="C42" s="25" t="n">
        <v>252.75</v>
      </c>
      <c r="D42" s="25" t="n">
        <v>215.1</v>
      </c>
      <c r="E42" s="25" t="n">
        <v>227.5</v>
      </c>
      <c r="F42" s="51" t="n">
        <v>487861759</v>
      </c>
      <c r="G42" s="18" t="n">
        <f aca="false">E42/E41-1</f>
        <v>-0.0368331922099915</v>
      </c>
    </row>
    <row r="43" customFormat="false" ht="15" hidden="false" customHeight="false" outlineLevel="0" collapsed="false">
      <c r="A43" s="7" t="s">
        <v>457</v>
      </c>
      <c r="B43" s="25" t="n">
        <v>227.5</v>
      </c>
      <c r="C43" s="25" t="n">
        <v>320.25</v>
      </c>
      <c r="D43" s="25" t="n">
        <v>226</v>
      </c>
      <c r="E43" s="25" t="n">
        <v>295.25</v>
      </c>
      <c r="F43" s="51" t="n">
        <v>576627652</v>
      </c>
      <c r="G43" s="18" t="n">
        <f aca="false">E43/E42-1</f>
        <v>0.297802197802198</v>
      </c>
    </row>
    <row r="44" customFormat="false" ht="15" hidden="false" customHeight="false" outlineLevel="0" collapsed="false">
      <c r="A44" s="7" t="s">
        <v>458</v>
      </c>
      <c r="B44" s="25" t="n">
        <v>293</v>
      </c>
      <c r="C44" s="25" t="n">
        <v>407.5</v>
      </c>
      <c r="D44" s="25" t="n">
        <v>283</v>
      </c>
      <c r="E44" s="25" t="n">
        <v>400.25</v>
      </c>
      <c r="F44" s="51" t="n">
        <v>689874224</v>
      </c>
      <c r="G44" s="18" t="n">
        <f aca="false">E44/E43-1</f>
        <v>0.355630821337849</v>
      </c>
    </row>
    <row r="45" customFormat="false" ht="15" hidden="false" customHeight="false" outlineLevel="0" collapsed="false">
      <c r="A45" s="7" t="s">
        <v>459</v>
      </c>
      <c r="B45" s="25" t="n">
        <v>404</v>
      </c>
      <c r="C45" s="25" t="n">
        <v>417.25</v>
      </c>
      <c r="D45" s="25" t="n">
        <v>390.5</v>
      </c>
      <c r="E45" s="25" t="n">
        <v>392.25</v>
      </c>
      <c r="F45" s="51" t="n">
        <v>63949705</v>
      </c>
      <c r="G45" s="18" t="n">
        <f aca="false">E45/E44-1</f>
        <v>-0.0199875078076203</v>
      </c>
    </row>
    <row r="46" customFormat="false" ht="15" hidden="false" customHeight="false" outlineLevel="0" collapsed="false">
      <c r="A46" s="5" t="s">
        <v>460</v>
      </c>
      <c r="E46" s="57" t="n">
        <f aca="false">E45/E33-1</f>
        <v>1.10321715817694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2026-09-03T00:09:21Z</dcterms:created>
  <dc:creator>openpyxl</dc:creator>
  <dc:description/>
  <dc:language>en-US</dc:language>
  <cp:lastModifiedBy/>
  <dcterms:modified xsi:type="dcterms:W3CDTF">2026-09-03T00:09:21Z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